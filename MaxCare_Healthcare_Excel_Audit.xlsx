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e92b1b80c39efa6/Desktop/Discuss/Healthcare_Analytics_Project/"/>
    </mc:Choice>
  </mc:AlternateContent>
  <xr:revisionPtr revIDLastSave="0" documentId="8_{70037F33-4DCE-4B25-ACC7-CB0133141388}" xr6:coauthVersionLast="47" xr6:coauthVersionMax="47" xr10:uidLastSave="{00000000-0000-0000-0000-000000000000}"/>
  <bookViews>
    <workbookView xWindow="-108" yWindow="-108" windowWidth="23256" windowHeight="12456" activeTab="1" xr2:uid="{3A8AC167-0F67-475F-93FF-24AA9E079194}"/>
  </bookViews>
  <sheets>
    <sheet name="Sheet1" sheetId="2" r:id="rId1"/>
    <sheet name="MaxCare_Hospital_1000_Patients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2" i="1"/>
</calcChain>
</file>

<file path=xl/sharedStrings.xml><?xml version="1.0" encoding="utf-8"?>
<sst xmlns="http://schemas.openxmlformats.org/spreadsheetml/2006/main" count="10032" uniqueCount="173">
  <si>
    <t>Appointment_ID</t>
  </si>
  <si>
    <t>Patient_ID</t>
  </si>
  <si>
    <t>Patient_Name</t>
  </si>
  <si>
    <t>Gender</t>
  </si>
  <si>
    <t>Age</t>
  </si>
  <si>
    <t>City</t>
  </si>
  <si>
    <t>Doctor_ID</t>
  </si>
  <si>
    <t>Doctor_Name</t>
  </si>
  <si>
    <t>Department</t>
  </si>
  <si>
    <t>Doctor_Experience_Years</t>
  </si>
  <si>
    <t>Admission_Date</t>
  </si>
  <si>
    <t>Discharge_Date</t>
  </si>
  <si>
    <t>Diagnosis</t>
  </si>
  <si>
    <t>Appointment_Status</t>
  </si>
  <si>
    <t>Treatment_Cost</t>
  </si>
  <si>
    <t>Insurance_Covered</t>
  </si>
  <si>
    <t>Out_Of_Pocket</t>
  </si>
  <si>
    <t>Payment_Status</t>
  </si>
  <si>
    <t>PAT-1014</t>
  </si>
  <si>
    <t>Sneha Gupta</t>
  </si>
  <si>
    <t>Male</t>
  </si>
  <si>
    <t>Gurgaon</t>
  </si>
  <si>
    <t>DOC-101</t>
  </si>
  <si>
    <t>Dr. Rajesh Khanna</t>
  </si>
  <si>
    <t>Cardiology</t>
  </si>
  <si>
    <t>Heart Failure Management</t>
  </si>
  <si>
    <t>Completed</t>
  </si>
  <si>
    <t>Pending</t>
  </si>
  <si>
    <t>PAT-1009</t>
  </si>
  <si>
    <t>Priya Kumar</t>
  </si>
  <si>
    <t>Female</t>
  </si>
  <si>
    <t>Faridabad</t>
  </si>
  <si>
    <t>Paid</t>
  </si>
  <si>
    <t>PAT-1038</t>
  </si>
  <si>
    <t>Rahul Kumar</t>
  </si>
  <si>
    <t>Hyderabad</t>
  </si>
  <si>
    <t>DOC-102</t>
  </si>
  <si>
    <t>Dr. Alok Verma</t>
  </si>
  <si>
    <t>PAT-1003</t>
  </si>
  <si>
    <t>Manish Mehta</t>
  </si>
  <si>
    <t>Ghaziabad</t>
  </si>
  <si>
    <t>DOC-107</t>
  </si>
  <si>
    <t>Dr. Meera Nair</t>
  </si>
  <si>
    <t>General Medicine</t>
  </si>
  <si>
    <t>Typhoid &amp; Severe Dehydration</t>
  </si>
  <si>
    <t>PAT-1007</t>
  </si>
  <si>
    <t>Ananya Kumar</t>
  </si>
  <si>
    <t>DOC-106</t>
  </si>
  <si>
    <t>Dr. Neha Sharma</t>
  </si>
  <si>
    <t>Orthopedics</t>
  </si>
  <si>
    <t>Knee Replacement Surgery</t>
  </si>
  <si>
    <t>Follow-up</t>
  </si>
  <si>
    <t>PAT-1046</t>
  </si>
  <si>
    <t>Amit Mehta</t>
  </si>
  <si>
    <t>Delhi</t>
  </si>
  <si>
    <t>DOC-105</t>
  </si>
  <si>
    <t>Dr. Amit Kumar</t>
  </si>
  <si>
    <t>PAT-1010</t>
  </si>
  <si>
    <t>Siddharth Rao</t>
  </si>
  <si>
    <t>Noida</t>
  </si>
  <si>
    <t>DOC-104</t>
  </si>
  <si>
    <t>Dr. Vikramaditya Rao</t>
  </si>
  <si>
    <t>Neurology</t>
  </si>
  <si>
    <t>Migraine &amp; Nerve Compression</t>
  </si>
  <si>
    <t>PAT-1022</t>
  </si>
  <si>
    <t>Kavya Gupta</t>
  </si>
  <si>
    <t>Hypertension &amp; Arrhythmia</t>
  </si>
  <si>
    <t>PAT-1050</t>
  </si>
  <si>
    <t>Priya Mehta</t>
  </si>
  <si>
    <t>Mumbai</t>
  </si>
  <si>
    <t>DOC-108</t>
  </si>
  <si>
    <t>Dr. Sanjay Gupta</t>
  </si>
  <si>
    <t>Acute Viral Fever &amp; Infection</t>
  </si>
  <si>
    <t>PAT-1031</t>
  </si>
  <si>
    <t>Kavya Kumar</t>
  </si>
  <si>
    <t>Jaipur</t>
  </si>
  <si>
    <t>Coronary Artery Disease</t>
  </si>
  <si>
    <t>Epilepsy Monitoring</t>
  </si>
  <si>
    <t>PAT-1044</t>
  </si>
  <si>
    <t>Pooja Singh</t>
  </si>
  <si>
    <t>PAT-1034</t>
  </si>
  <si>
    <t>Siddharth Kumar</t>
  </si>
  <si>
    <t>PAT-1040</t>
  </si>
  <si>
    <t>Pooja Mehta</t>
  </si>
  <si>
    <t>Bangalore</t>
  </si>
  <si>
    <t>Ligament Tear Repair</t>
  </si>
  <si>
    <t>PAT-1025</t>
  </si>
  <si>
    <t>Ananya Mehta</t>
  </si>
  <si>
    <t>DOC-103</t>
  </si>
  <si>
    <t>Dr. Sunita Kapoor</t>
  </si>
  <si>
    <t>PAT-1049</t>
  </si>
  <si>
    <t>Pooja Verma</t>
  </si>
  <si>
    <t>PAT-1012</t>
  </si>
  <si>
    <t>Ananya Saxena</t>
  </si>
  <si>
    <t>PAT-1041</t>
  </si>
  <si>
    <t>Ananya Patel</t>
  </si>
  <si>
    <t>Acute Ischemic Stroke</t>
  </si>
  <si>
    <t>PAT-1015</t>
  </si>
  <si>
    <t>Vikram Verma</t>
  </si>
  <si>
    <t>PAT-1006</t>
  </si>
  <si>
    <t>Neha Singh</t>
  </si>
  <si>
    <t>Cervical Spondylosis</t>
  </si>
  <si>
    <t>PAT-1029</t>
  </si>
  <si>
    <t>Amit Rao</t>
  </si>
  <si>
    <t>PAT-1020</t>
  </si>
  <si>
    <t>Ritu Verma</t>
  </si>
  <si>
    <t>PAT-1039</t>
  </si>
  <si>
    <t>Rahul Saxena</t>
  </si>
  <si>
    <t>PAT-1004</t>
  </si>
  <si>
    <t>Neha Patel</t>
  </si>
  <si>
    <t>PAT-1045</t>
  </si>
  <si>
    <t>Sneha Sharma</t>
  </si>
  <si>
    <t>Pneumonia Management</t>
  </si>
  <si>
    <t>PAT-1027</t>
  </si>
  <si>
    <t>Siddharth Verma</t>
  </si>
  <si>
    <t>PAT-1013</t>
  </si>
  <si>
    <t>Neha Nair</t>
  </si>
  <si>
    <t>PAT-1021</t>
  </si>
  <si>
    <t>Amit Gupta</t>
  </si>
  <si>
    <t>Pune</t>
  </si>
  <si>
    <t>PAT-1037</t>
  </si>
  <si>
    <t>PAT-1018</t>
  </si>
  <si>
    <t>Pooja Saxena</t>
  </si>
  <si>
    <t>PAT-1042</t>
  </si>
  <si>
    <t>Ananya Sharma</t>
  </si>
  <si>
    <t>PAT-1017</t>
  </si>
  <si>
    <t>Ritu Saxena</t>
  </si>
  <si>
    <t>PAT-1036</t>
  </si>
  <si>
    <t>Rohan Joshi</t>
  </si>
  <si>
    <t>PAT-1016</t>
  </si>
  <si>
    <t>Manish Kumar</t>
  </si>
  <si>
    <t>PAT-1030</t>
  </si>
  <si>
    <t>Aarav Joshi</t>
  </si>
  <si>
    <t>PAT-1002</t>
  </si>
  <si>
    <t>Amit Saxena</t>
  </si>
  <si>
    <t>PAT-1019</t>
  </si>
  <si>
    <t>Aarav Kapoor</t>
  </si>
  <si>
    <t>PAT-1047</t>
  </si>
  <si>
    <t>Aarav Nair</t>
  </si>
  <si>
    <t>PAT-1023</t>
  </si>
  <si>
    <t>Neha Rao</t>
  </si>
  <si>
    <t>PAT-1001</t>
  </si>
  <si>
    <t>Sneha Singh</t>
  </si>
  <si>
    <t>PAT-1043</t>
  </si>
  <si>
    <t>PAT-1008</t>
  </si>
  <si>
    <t>Priya Rao</t>
  </si>
  <si>
    <t>PAT-1033</t>
  </si>
  <si>
    <t>Vikram Joshi</t>
  </si>
  <si>
    <t>PAT-1032</t>
  </si>
  <si>
    <t>Rahul Joshi</t>
  </si>
  <si>
    <t>PAT-1024</t>
  </si>
  <si>
    <t>Rahul Nair</t>
  </si>
  <si>
    <t>PAT-1035</t>
  </si>
  <si>
    <t>Rahul Verma</t>
  </si>
  <si>
    <t>PAT-1005</t>
  </si>
  <si>
    <t>Rohan Verma</t>
  </si>
  <si>
    <t>PAT-1026</t>
  </si>
  <si>
    <t>Manish Gupta</t>
  </si>
  <si>
    <t>PAT-1011</t>
  </si>
  <si>
    <t>Siddharth Nair</t>
  </si>
  <si>
    <t>PAT-1028</t>
  </si>
  <si>
    <t>Vikram Kumar</t>
  </si>
  <si>
    <t>PAT-1048</t>
  </si>
  <si>
    <t>Length_of_staydays</t>
  </si>
  <si>
    <t>Insurance_claim_pct</t>
  </si>
  <si>
    <t>out_of_pocketpct</t>
  </si>
  <si>
    <t>Row Labels</t>
  </si>
  <si>
    <t>(blank)</t>
  </si>
  <si>
    <t>Grand Total</t>
  </si>
  <si>
    <t>Sum of Treatment_Cost</t>
  </si>
  <si>
    <t>Sum of Length_of_staydays</t>
  </si>
  <si>
    <t>Sum of Insurance_Covered</t>
  </si>
  <si>
    <t>Sum of Out_Of_Pocket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</si>
</sst>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hyati Rajput" refreshedDate="46298.85147789352" createdVersion="8" refreshedVersion="8" minRefreshableVersion="3" recordCount="1001" xr:uid="{1D9B80EC-A28B-45EA-8A61-DBE68BD2DF87}">
  <cacheSource type="worksheet">
    <worksheetSource ref="A1:U1048576" sheet="MaxCare_Hospital_1000_Patients"/>
  </cacheSource>
  <cacheFields count="21">
    <cacheField name="Appointment_ID" numFmtId="0">
      <sharedItems containsString="0" containsBlank="1" containsNumber="1" containsInteger="1" minValue="10001" maxValue="11000"/>
    </cacheField>
    <cacheField name="Patient_ID" numFmtId="0">
      <sharedItems containsBlank="1"/>
    </cacheField>
    <cacheField name="Patient_Name" numFmtId="0">
      <sharedItems containsBlank="1"/>
    </cacheField>
    <cacheField name="Gender" numFmtId="0">
      <sharedItems containsBlank="1"/>
    </cacheField>
    <cacheField name="Age" numFmtId="0">
      <sharedItems containsString="0" containsBlank="1" containsNumber="1" containsInteger="1" minValue="18" maxValue="75"/>
    </cacheField>
    <cacheField name="City" numFmtId="0">
      <sharedItems containsBlank="1"/>
    </cacheField>
    <cacheField name="Doctor_ID" numFmtId="0">
      <sharedItems containsBlank="1"/>
    </cacheField>
    <cacheField name="Doctor_Name" numFmtId="0">
      <sharedItems containsBlank="1"/>
    </cacheField>
    <cacheField name="Department" numFmtId="0">
      <sharedItems containsBlank="1" count="5">
        <s v="Cardiology"/>
        <s v="General Medicine"/>
        <s v="Orthopedics"/>
        <s v="Neurology"/>
        <m/>
      </sharedItems>
    </cacheField>
    <cacheField name="Doctor_Experience_Years" numFmtId="0">
      <sharedItems containsString="0" containsBlank="1" containsNumber="1" containsInteger="1" minValue="8" maxValue="18"/>
    </cacheField>
    <cacheField name="Admission_Date" numFmtId="0">
      <sharedItems containsNonDate="0" containsDate="1" containsString="0" containsBlank="1" minDate="2025-01-01T00:00:00" maxDate="2025-12-18T00:00:00"/>
    </cacheField>
    <cacheField name="Discharge_Date" numFmtId="0">
      <sharedItems containsNonDate="0" containsDate="1" containsString="0" containsBlank="1" minDate="2025-01-04T00:00:00" maxDate="2025-12-27T00:00:00"/>
    </cacheField>
    <cacheField name="Diagnosis" numFmtId="0">
      <sharedItems containsBlank="1"/>
    </cacheField>
    <cacheField name="Appointment_Status" numFmtId="0">
      <sharedItems containsBlank="1"/>
    </cacheField>
    <cacheField name="Treatment_Cost" numFmtId="0">
      <sharedItems containsString="0" containsBlank="1" containsNumber="1" minValue="8078.98" maxValue="449174.23"/>
    </cacheField>
    <cacheField name="Insurance_Covered" numFmtId="0">
      <sharedItems containsString="0" containsBlank="1" containsNumber="1" minValue="5816.87" maxValue="356487.25"/>
    </cacheField>
    <cacheField name="Out_Of_Pocket" numFmtId="0">
      <sharedItems containsString="0" containsBlank="1" containsNumber="1" minValue="2095.6" maxValue="172955.86"/>
    </cacheField>
    <cacheField name="Payment_Status" numFmtId="0">
      <sharedItems containsBlank="1"/>
    </cacheField>
    <cacheField name="Length_of_staydays" numFmtId="0">
      <sharedItems containsString="0" containsBlank="1" containsNumber="1" containsInteger="1" minValue="2" maxValue="14"/>
    </cacheField>
    <cacheField name="Insurance_claim_pct" numFmtId="0">
      <sharedItems containsString="0" containsBlank="1" containsNumber="1" minValue="0.59999991032825684" maxValue="0.85000005478869645"/>
    </cacheField>
    <cacheField name="out_of_pocketpct" numFmtId="0">
      <sharedItems containsString="0" containsBlank="1" containsNumber="1" minValue="0.14999994521130358" maxValue="0.400000089671743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n v="10001"/>
    <s v="PAT-1014"/>
    <s v="Sneha Gupta"/>
    <s v="Male"/>
    <n v="45"/>
    <s v="Gurgaon"/>
    <s v="DOC-101"/>
    <s v="Dr. Rajesh Khanna"/>
    <x v="0"/>
    <n v="15"/>
    <d v="2025-10-28T00:00:00"/>
    <d v="2025-11-11T00:00:00"/>
    <s v="Heart Failure Management"/>
    <s v="Completed"/>
    <n v="112689.03"/>
    <n v="72120.98"/>
    <n v="40568.050000000003"/>
    <s v="Pending"/>
    <n v="14"/>
    <n v="0.64000000709918259"/>
    <n v="0.35999999290081741"/>
  </r>
  <r>
    <n v="10002"/>
    <s v="PAT-1009"/>
    <s v="Priya Kumar"/>
    <s v="Female"/>
    <n v="60"/>
    <s v="Faridabad"/>
    <s v="DOC-101"/>
    <s v="Dr. Rajesh Khanna"/>
    <x v="0"/>
    <n v="15"/>
    <d v="2025-12-16T00:00:00"/>
    <d v="2025-12-26T00:00:00"/>
    <s v="Heart Failure Management"/>
    <s v="Completed"/>
    <n v="240119.32"/>
    <n v="192095.46"/>
    <n v="48023.86"/>
    <s v="Paid"/>
    <n v="10"/>
    <n v="0.80000001665838461"/>
    <n v="0.19999998334161531"/>
  </r>
  <r>
    <n v="10003"/>
    <s v="PAT-1038"/>
    <s v="Rahul Kumar"/>
    <s v="Male"/>
    <n v="26"/>
    <s v="Hyderabad"/>
    <s v="DOC-102"/>
    <s v="Dr. Alok Verma"/>
    <x v="0"/>
    <n v="12"/>
    <d v="2025-09-04T00:00:00"/>
    <d v="2025-09-08T00:00:00"/>
    <s v="Heart Failure Management"/>
    <s v="Completed"/>
    <n v="233647.73"/>
    <n v="172899.32"/>
    <n v="60748.41"/>
    <s v="Paid"/>
    <n v="4"/>
    <n v="0.73999999914401049"/>
    <n v="0.26000000085598951"/>
  </r>
  <r>
    <n v="10004"/>
    <s v="PAT-1003"/>
    <s v="Manish Mehta"/>
    <s v="Female"/>
    <n v="62"/>
    <s v="Ghaziabad"/>
    <s v="DOC-107"/>
    <s v="Dr. Meera Nair"/>
    <x v="1"/>
    <n v="9"/>
    <d v="2025-01-31T00:00:00"/>
    <d v="2025-02-03T00:00:00"/>
    <s v="Typhoid &amp; Severe Dehydration"/>
    <s v="Completed"/>
    <n v="21267.040000000001"/>
    <n v="13398.24"/>
    <n v="7868.8"/>
    <s v="Paid"/>
    <n v="3"/>
    <n v="0.63000022570136693"/>
    <n v="0.36999977429863301"/>
  </r>
  <r>
    <n v="10005"/>
    <s v="PAT-1007"/>
    <s v="Ananya Kumar"/>
    <s v="Female"/>
    <n v="45"/>
    <s v="Ghaziabad"/>
    <s v="DOC-106"/>
    <s v="Dr. Neha Sharma"/>
    <x v="2"/>
    <n v="8"/>
    <d v="2025-12-02T00:00:00"/>
    <d v="2025-12-12T00:00:00"/>
    <s v="Knee Replacement Surgery"/>
    <s v="Follow-up"/>
    <n v="188129.33"/>
    <n v="152384.76"/>
    <n v="35744.57"/>
    <s v="Paid"/>
    <n v="10"/>
    <n v="0.81000001435182922"/>
    <n v="0.18999998564817086"/>
  </r>
  <r>
    <n v="10006"/>
    <s v="PAT-1046"/>
    <s v="Amit Mehta"/>
    <s v="Male"/>
    <n v="49"/>
    <s v="Delhi"/>
    <s v="DOC-105"/>
    <s v="Dr. Amit Kumar"/>
    <x v="2"/>
    <n v="10"/>
    <d v="2025-08-29T00:00:00"/>
    <d v="2025-09-03T00:00:00"/>
    <s v="Knee Replacement Surgery"/>
    <s v="Completed"/>
    <n v="220128.54"/>
    <n v="180505.4"/>
    <n v="39623.14"/>
    <s v="Pending"/>
    <n v="5"/>
    <n v="0.8199999872801591"/>
    <n v="0.18000001271984087"/>
  </r>
  <r>
    <n v="10007"/>
    <s v="PAT-1010"/>
    <s v="Siddharth Rao"/>
    <s v="Male"/>
    <n v="45"/>
    <s v="Noida"/>
    <s v="DOC-104"/>
    <s v="Dr. Vikramaditya Rao"/>
    <x v="3"/>
    <n v="18"/>
    <d v="2025-05-21T00:00:00"/>
    <d v="2025-06-04T00:00:00"/>
    <s v="Migraine &amp; Nerve Compression"/>
    <s v="Completed"/>
    <n v="29607.53"/>
    <n v="19244.89"/>
    <n v="10362.64"/>
    <s v="Paid"/>
    <n v="14"/>
    <n v="0.64999984801163757"/>
    <n v="0.35000015198836243"/>
  </r>
  <r>
    <n v="10008"/>
    <s v="PAT-1022"/>
    <s v="Kavya Gupta"/>
    <s v="Male"/>
    <n v="27"/>
    <s v="Faridabad"/>
    <s v="DOC-101"/>
    <s v="Dr. Rajesh Khanna"/>
    <x v="0"/>
    <n v="15"/>
    <d v="2025-07-12T00:00:00"/>
    <d v="2025-07-16T00:00:00"/>
    <s v="Hypertension &amp; Arrhythmia"/>
    <s v="Completed"/>
    <n v="56541.06"/>
    <n v="34490.050000000003"/>
    <n v="22051.01"/>
    <s v="Paid"/>
    <n v="4"/>
    <n v="0.61000006013329078"/>
    <n v="0.38999993986670922"/>
  </r>
  <r>
    <n v="10009"/>
    <s v="PAT-1050"/>
    <s v="Priya Mehta"/>
    <s v="Male"/>
    <n v="33"/>
    <s v="Mumbai"/>
    <s v="DOC-108"/>
    <s v="Dr. Sanjay Gupta"/>
    <x v="1"/>
    <n v="11"/>
    <d v="2025-04-01T00:00:00"/>
    <d v="2025-04-13T00:00:00"/>
    <s v="Acute Viral Fever &amp; Infection"/>
    <s v="Completed"/>
    <n v="15706.09"/>
    <n v="10680.14"/>
    <n v="5025.95"/>
    <s v="Paid"/>
    <n v="12"/>
    <n v="0.67999992359651573"/>
    <n v="0.32000007640348421"/>
  </r>
  <r>
    <n v="10010"/>
    <s v="PAT-1031"/>
    <s v="Kavya Kumar"/>
    <s v="Male"/>
    <n v="53"/>
    <s v="Jaipur"/>
    <s v="DOC-102"/>
    <s v="Dr. Alok Verma"/>
    <x v="0"/>
    <n v="12"/>
    <d v="2025-07-14T00:00:00"/>
    <d v="2025-07-18T00:00:00"/>
    <s v="Coronary Artery Disease"/>
    <s v="Follow-up"/>
    <n v="236812.63"/>
    <n v="156296.34"/>
    <n v="80516.289999999994"/>
    <s v="Pending"/>
    <n v="4"/>
    <n v="0.66000001773554051"/>
    <n v="0.33999998226445943"/>
  </r>
  <r>
    <n v="10011"/>
    <s v="PAT-1007"/>
    <s v="Ananya Kumar"/>
    <s v="Female"/>
    <n v="45"/>
    <s v="Ghaziabad"/>
    <s v="DOC-104"/>
    <s v="Dr. Vikramaditya Rao"/>
    <x v="3"/>
    <n v="18"/>
    <d v="2025-08-13T00:00:00"/>
    <d v="2025-08-19T00:00:00"/>
    <s v="Epilepsy Monitoring"/>
    <s v="Completed"/>
    <n v="72972.509999999995"/>
    <n v="57648.28"/>
    <n v="15324.23"/>
    <s v="Paid"/>
    <n v="6"/>
    <n v="0.78999996025900721"/>
    <n v="0.21000003974099288"/>
  </r>
  <r>
    <n v="10012"/>
    <s v="PAT-1044"/>
    <s v="Pooja Singh"/>
    <s v="Male"/>
    <n v="67"/>
    <s v="Hyderabad"/>
    <s v="DOC-106"/>
    <s v="Dr. Neha Sharma"/>
    <x v="2"/>
    <n v="8"/>
    <d v="2025-09-07T00:00:00"/>
    <d v="2025-09-13T00:00:00"/>
    <s v="Knee Replacement Surgery"/>
    <s v="Completed"/>
    <n v="324309.14"/>
    <n v="236745.67"/>
    <n v="87563.47"/>
    <s v="Pending"/>
    <n v="6"/>
    <n v="0.72999999321634912"/>
    <n v="0.27000000678365094"/>
  </r>
  <r>
    <n v="10013"/>
    <s v="PAT-1034"/>
    <s v="Siddharth Kumar"/>
    <s v="Male"/>
    <n v="65"/>
    <s v="Ghaziabad"/>
    <s v="DOC-101"/>
    <s v="Dr. Rajesh Khanna"/>
    <x v="0"/>
    <n v="15"/>
    <d v="2025-09-08T00:00:00"/>
    <d v="2025-09-14T00:00:00"/>
    <s v="Heart Failure Management"/>
    <s v="Follow-up"/>
    <n v="98248.47"/>
    <n v="76633.81"/>
    <n v="21614.66"/>
    <s v="Paid"/>
    <n v="6"/>
    <n v="0.78000003460613687"/>
    <n v="0.21999996539386313"/>
  </r>
  <r>
    <n v="10014"/>
    <s v="PAT-1040"/>
    <s v="Pooja Mehta"/>
    <s v="Male"/>
    <n v="74"/>
    <s v="Bangalore"/>
    <s v="DOC-105"/>
    <s v="Dr. Amit Kumar"/>
    <x v="2"/>
    <n v="10"/>
    <d v="2025-03-11T00:00:00"/>
    <d v="2025-03-25T00:00:00"/>
    <s v="Ligament Tear Repair"/>
    <s v="Follow-up"/>
    <n v="134939.4"/>
    <n v="89060"/>
    <n v="45879.4"/>
    <s v="Paid"/>
    <n v="14"/>
    <n v="0.65999997035706404"/>
    <n v="0.34000002964293602"/>
  </r>
  <r>
    <n v="10015"/>
    <s v="PAT-1025"/>
    <s v="Ananya Mehta"/>
    <s v="Female"/>
    <n v="23"/>
    <s v="Faridabad"/>
    <s v="DOC-102"/>
    <s v="Dr. Alok Verma"/>
    <x v="0"/>
    <n v="12"/>
    <d v="2025-12-13T00:00:00"/>
    <d v="2025-12-22T00:00:00"/>
    <s v="Coronary Artery Disease"/>
    <s v="Completed"/>
    <n v="449174.23"/>
    <n v="278488.02"/>
    <n v="170686.21"/>
    <s v="Paid"/>
    <n v="9"/>
    <n v="0.61999999421160035"/>
    <n v="0.38000000578839976"/>
  </r>
  <r>
    <n v="10016"/>
    <s v="PAT-1025"/>
    <s v="Ananya Mehta"/>
    <s v="Female"/>
    <n v="23"/>
    <s v="Faridabad"/>
    <s v="DOC-103"/>
    <s v="Dr. Sunita Kapoor"/>
    <x v="3"/>
    <n v="14"/>
    <d v="2025-10-03T00:00:00"/>
    <d v="2025-10-13T00:00:00"/>
    <s v="Epilepsy Monitoring"/>
    <s v="Follow-up"/>
    <n v="80973.81"/>
    <n v="66398.52"/>
    <n v="14575.29"/>
    <s v="Pending"/>
    <n v="10"/>
    <n v="0.81999994813137733"/>
    <n v="0.18000005186862272"/>
  </r>
  <r>
    <n v="10017"/>
    <s v="PAT-1049"/>
    <s v="Pooja Verma"/>
    <s v="Male"/>
    <n v="48"/>
    <s v="Bangalore"/>
    <s v="DOC-103"/>
    <s v="Dr. Sunita Kapoor"/>
    <x v="3"/>
    <n v="14"/>
    <d v="2025-01-07T00:00:00"/>
    <d v="2025-01-11T00:00:00"/>
    <s v="Migraine &amp; Nerve Compression"/>
    <s v="Completed"/>
    <n v="37235.839999999997"/>
    <n v="27926.880000000001"/>
    <n v="9308.9599999999991"/>
    <s v="Paid"/>
    <n v="4"/>
    <n v="0.75000000000000011"/>
    <n v="0.25"/>
  </r>
  <r>
    <n v="10018"/>
    <s v="PAT-1034"/>
    <s v="Siddharth Kumar"/>
    <s v="Male"/>
    <n v="65"/>
    <s v="Ghaziabad"/>
    <s v="DOC-104"/>
    <s v="Dr. Vikramaditya Rao"/>
    <x v="3"/>
    <n v="18"/>
    <d v="2025-05-07T00:00:00"/>
    <d v="2025-05-17T00:00:00"/>
    <s v="Epilepsy Monitoring"/>
    <s v="Completed"/>
    <n v="66849.289999999994"/>
    <n v="54816.42"/>
    <n v="12032.87"/>
    <s v="Paid"/>
    <n v="10"/>
    <n v="0.82000003290984846"/>
    <n v="0.17999996709015162"/>
  </r>
  <r>
    <n v="10019"/>
    <s v="PAT-1009"/>
    <s v="Priya Kumar"/>
    <s v="Female"/>
    <n v="60"/>
    <s v="Faridabad"/>
    <s v="DOC-101"/>
    <s v="Dr. Rajesh Khanna"/>
    <x v="0"/>
    <n v="15"/>
    <d v="2025-09-13T00:00:00"/>
    <d v="2025-09-19T00:00:00"/>
    <s v="Hypertension &amp; Arrhythmia"/>
    <s v="Completed"/>
    <n v="32161.64"/>
    <n v="20583.45"/>
    <n v="11578.19"/>
    <s v="Paid"/>
    <n v="6"/>
    <n v="0.64000001243717675"/>
    <n v="0.35999998756282331"/>
  </r>
  <r>
    <n v="10020"/>
    <s v="PAT-1012"/>
    <s v="Ananya Saxena"/>
    <s v="Male"/>
    <n v="40"/>
    <s v="Delhi"/>
    <s v="DOC-104"/>
    <s v="Dr. Vikramaditya Rao"/>
    <x v="3"/>
    <n v="18"/>
    <d v="2025-07-03T00:00:00"/>
    <d v="2025-07-17T00:00:00"/>
    <s v="Migraine &amp; Nerve Compression"/>
    <s v="Completed"/>
    <n v="29428.92"/>
    <n v="17951.64"/>
    <n v="11477.28"/>
    <s v="Paid"/>
    <n v="14"/>
    <n v="0.60999995922378392"/>
    <n v="0.39000004077621608"/>
  </r>
  <r>
    <n v="10021"/>
    <s v="PAT-1012"/>
    <s v="Ananya Saxena"/>
    <s v="Male"/>
    <n v="40"/>
    <s v="Delhi"/>
    <s v="DOC-101"/>
    <s v="Dr. Rajesh Khanna"/>
    <x v="0"/>
    <n v="15"/>
    <d v="2025-11-21T00:00:00"/>
    <d v="2025-11-25T00:00:00"/>
    <s v="Hypertension &amp; Arrhythmia"/>
    <s v="Follow-up"/>
    <n v="27247.89"/>
    <n v="18256.09"/>
    <n v="8991.7999999999993"/>
    <s v="Paid"/>
    <n v="4"/>
    <n v="0.67000013579033091"/>
    <n v="0.32999986420966904"/>
  </r>
  <r>
    <n v="10022"/>
    <s v="PAT-1041"/>
    <s v="Ananya Patel"/>
    <s v="Female"/>
    <n v="66"/>
    <s v="Delhi"/>
    <s v="DOC-104"/>
    <s v="Dr. Vikramaditya Rao"/>
    <x v="3"/>
    <n v="18"/>
    <d v="2025-06-29T00:00:00"/>
    <d v="2025-07-12T00:00:00"/>
    <s v="Acute Ischemic Stroke"/>
    <s v="Follow-up"/>
    <n v="267719.76"/>
    <n v="200789.82"/>
    <n v="66929.94"/>
    <s v="Paid"/>
    <n v="13"/>
    <n v="0.75"/>
    <n v="0.25"/>
  </r>
  <r>
    <n v="10023"/>
    <s v="PAT-1015"/>
    <s v="Vikram Verma"/>
    <s v="Male"/>
    <n v="43"/>
    <s v="Mumbai"/>
    <s v="DOC-106"/>
    <s v="Dr. Neha Sharma"/>
    <x v="2"/>
    <n v="8"/>
    <d v="2025-03-22T00:00:00"/>
    <d v="2025-04-03T00:00:00"/>
    <s v="Ligament Tear Repair"/>
    <s v="Completed"/>
    <n v="96472.15"/>
    <n v="68495.23"/>
    <n v="27976.92"/>
    <s v="Paid"/>
    <n v="12"/>
    <n v="0.71000003627990049"/>
    <n v="0.28999996372009951"/>
  </r>
  <r>
    <n v="10024"/>
    <s v="PAT-1025"/>
    <s v="Ananya Mehta"/>
    <s v="Female"/>
    <n v="23"/>
    <s v="Faridabad"/>
    <s v="DOC-102"/>
    <s v="Dr. Alok Verma"/>
    <x v="0"/>
    <n v="12"/>
    <d v="2025-10-23T00:00:00"/>
    <d v="2025-10-28T00:00:00"/>
    <s v="Coronary Artery Disease"/>
    <s v="Completed"/>
    <n v="202779.27"/>
    <n v="143973.28"/>
    <n v="58805.99"/>
    <s v="Paid"/>
    <n v="5"/>
    <n v="0.70999999161650007"/>
    <n v="0.29000000838349993"/>
  </r>
  <r>
    <n v="10025"/>
    <s v="PAT-1006"/>
    <s v="Neha Singh"/>
    <s v="Female"/>
    <n v="68"/>
    <s v="Mumbai"/>
    <s v="DOC-108"/>
    <s v="Dr. Sanjay Gupta"/>
    <x v="1"/>
    <n v="11"/>
    <d v="2025-09-14T00:00:00"/>
    <d v="2025-09-25T00:00:00"/>
    <s v="Acute Viral Fever &amp; Infection"/>
    <s v="Follow-up"/>
    <n v="13154.3"/>
    <n v="9865.7199999999993"/>
    <n v="3288.58"/>
    <s v="Paid"/>
    <n v="11"/>
    <n v="0.7499996198961556"/>
    <n v="0.2500003801038444"/>
  </r>
  <r>
    <n v="10026"/>
    <s v="PAT-1046"/>
    <s v="Amit Mehta"/>
    <s v="Male"/>
    <n v="49"/>
    <s v="Delhi"/>
    <s v="DOC-105"/>
    <s v="Dr. Amit Kumar"/>
    <x v="2"/>
    <n v="10"/>
    <d v="2025-10-12T00:00:00"/>
    <d v="2025-10-24T00:00:00"/>
    <s v="Cervical Spondylosis"/>
    <s v="Completed"/>
    <n v="27966.959999999999"/>
    <n v="22373.57"/>
    <n v="5593.39"/>
    <s v="Paid"/>
    <n v="12"/>
    <n v="0.80000007151295671"/>
    <n v="0.19999992848704329"/>
  </r>
  <r>
    <n v="10027"/>
    <s v="PAT-1012"/>
    <s v="Ananya Saxena"/>
    <s v="Male"/>
    <n v="40"/>
    <s v="Delhi"/>
    <s v="DOC-102"/>
    <s v="Dr. Alok Verma"/>
    <x v="0"/>
    <n v="12"/>
    <d v="2025-11-25T00:00:00"/>
    <d v="2025-12-08T00:00:00"/>
    <s v="Hypertension &amp; Arrhythmia"/>
    <s v="Follow-up"/>
    <n v="84943.88"/>
    <n v="62009.03"/>
    <n v="22934.85"/>
    <s v="Paid"/>
    <n v="13"/>
    <n v="0.72999997174605158"/>
    <n v="0.27000002825394837"/>
  </r>
  <r>
    <n v="10028"/>
    <s v="PAT-1015"/>
    <s v="Vikram Verma"/>
    <s v="Male"/>
    <n v="43"/>
    <s v="Mumbai"/>
    <s v="DOC-105"/>
    <s v="Dr. Amit Kumar"/>
    <x v="2"/>
    <n v="10"/>
    <d v="2025-11-22T00:00:00"/>
    <d v="2025-12-04T00:00:00"/>
    <s v="Knee Replacement Surgery"/>
    <s v="Completed"/>
    <n v="264069.96000000002"/>
    <n v="208615.27"/>
    <n v="55454.69"/>
    <s v="Paid"/>
    <n v="12"/>
    <n v="0.79000000605900034"/>
    <n v="0.20999999394099958"/>
  </r>
  <r>
    <n v="10029"/>
    <s v="PAT-1029"/>
    <s v="Amit Rao"/>
    <s v="Female"/>
    <n v="59"/>
    <s v="Jaipur"/>
    <s v="DOC-105"/>
    <s v="Dr. Amit Kumar"/>
    <x v="2"/>
    <n v="10"/>
    <d v="2025-01-20T00:00:00"/>
    <d v="2025-02-02T00:00:00"/>
    <s v="Ligament Tear Repair"/>
    <s v="Completed"/>
    <n v="110139.28"/>
    <n v="75996.100000000006"/>
    <n v="34143.18"/>
    <s v="Pending"/>
    <n v="13"/>
    <n v="0.68999997094587873"/>
    <n v="0.31000002905412127"/>
  </r>
  <r>
    <n v="10030"/>
    <s v="PAT-1003"/>
    <s v="Manish Mehta"/>
    <s v="Female"/>
    <n v="62"/>
    <s v="Ghaziabad"/>
    <s v="DOC-102"/>
    <s v="Dr. Alok Verma"/>
    <x v="0"/>
    <n v="12"/>
    <d v="2025-01-30T00:00:00"/>
    <d v="2025-02-02T00:00:00"/>
    <s v="Hypertension &amp; Arrhythmia"/>
    <s v="Follow-up"/>
    <n v="59277.39"/>
    <n v="49793.01"/>
    <n v="9484.3799999999992"/>
    <s v="Pending"/>
    <n v="3"/>
    <n v="0.84000004048761256"/>
    <n v="0.15999995951238744"/>
  </r>
  <r>
    <n v="10031"/>
    <s v="PAT-1020"/>
    <s v="Ritu Verma"/>
    <s v="Female"/>
    <n v="68"/>
    <s v="Gurgaon"/>
    <s v="DOC-104"/>
    <s v="Dr. Vikramaditya Rao"/>
    <x v="3"/>
    <n v="18"/>
    <d v="2025-03-11T00:00:00"/>
    <d v="2025-03-21T00:00:00"/>
    <s v="Acute Ischemic Stroke"/>
    <s v="Completed"/>
    <n v="130084.33"/>
    <n v="94961.56"/>
    <n v="35122.769999999997"/>
    <s v="Paid"/>
    <n v="10"/>
    <n v="0.72999999308141106"/>
    <n v="0.27000000691858889"/>
  </r>
  <r>
    <n v="10032"/>
    <s v="PAT-1038"/>
    <s v="Rahul Kumar"/>
    <s v="Male"/>
    <n v="26"/>
    <s v="Hyderabad"/>
    <s v="DOC-101"/>
    <s v="Dr. Rajesh Khanna"/>
    <x v="0"/>
    <n v="15"/>
    <d v="2025-04-04T00:00:00"/>
    <d v="2025-04-15T00:00:00"/>
    <s v="Hypertension &amp; Arrhythmia"/>
    <s v="Follow-up"/>
    <n v="66519.539999999994"/>
    <n v="40576.92"/>
    <n v="25942.62"/>
    <s v="Paid"/>
    <n v="11"/>
    <n v="0.61000000901990603"/>
    <n v="0.38999999098009397"/>
  </r>
  <r>
    <n v="10033"/>
    <s v="PAT-1039"/>
    <s v="Rahul Saxena"/>
    <s v="Female"/>
    <n v="37"/>
    <s v="Faridabad"/>
    <s v="DOC-106"/>
    <s v="Dr. Neha Sharma"/>
    <x v="2"/>
    <n v="8"/>
    <d v="2025-12-10T00:00:00"/>
    <d v="2025-12-20T00:00:00"/>
    <s v="Cervical Spondylosis"/>
    <s v="Completed"/>
    <n v="35169.69"/>
    <n v="22508.6"/>
    <n v="12661.09"/>
    <s v="Pending"/>
    <n v="10"/>
    <n v="0.63999995450628078"/>
    <n v="0.36000004549371917"/>
  </r>
  <r>
    <n v="10034"/>
    <s v="PAT-1004"/>
    <s v="Neha Patel"/>
    <s v="Male"/>
    <n v="34"/>
    <s v="Ghaziabad"/>
    <s v="DOC-102"/>
    <s v="Dr. Alok Verma"/>
    <x v="0"/>
    <n v="12"/>
    <d v="2025-06-19T00:00:00"/>
    <d v="2025-07-03T00:00:00"/>
    <s v="Hypertension &amp; Arrhythmia"/>
    <s v="Completed"/>
    <n v="84716.71"/>
    <n v="55065.86"/>
    <n v="29650.85"/>
    <s v="Paid"/>
    <n v="14"/>
    <n v="0.64999998229392997"/>
    <n v="0.35000001770606998"/>
  </r>
  <r>
    <n v="10035"/>
    <s v="PAT-1044"/>
    <s v="Pooja Singh"/>
    <s v="Male"/>
    <n v="67"/>
    <s v="Hyderabad"/>
    <s v="DOC-105"/>
    <s v="Dr. Amit Kumar"/>
    <x v="2"/>
    <n v="10"/>
    <d v="2025-01-10T00:00:00"/>
    <d v="2025-01-23T00:00:00"/>
    <s v="Ligament Tear Repair"/>
    <s v="Completed"/>
    <n v="98479.38"/>
    <n v="63026.8"/>
    <n v="35452.58"/>
    <s v="Paid"/>
    <n v="13"/>
    <n v="0.63999996750588806"/>
    <n v="0.36000003249411194"/>
  </r>
  <r>
    <n v="10036"/>
    <s v="PAT-1045"/>
    <s v="Sneha Sharma"/>
    <s v="Male"/>
    <n v="44"/>
    <s v="Hyderabad"/>
    <s v="DOC-101"/>
    <s v="Dr. Rajesh Khanna"/>
    <x v="0"/>
    <n v="15"/>
    <d v="2025-08-24T00:00:00"/>
    <d v="2025-08-31T00:00:00"/>
    <s v="Hypertension &amp; Arrhythmia"/>
    <s v="Completed"/>
    <n v="62948.81"/>
    <n v="44064.17"/>
    <n v="18884.64"/>
    <s v="Pending"/>
    <n v="7"/>
    <n v="0.70000004765777146"/>
    <n v="0.29999995234222854"/>
  </r>
  <r>
    <n v="10037"/>
    <s v="PAT-1025"/>
    <s v="Ananya Mehta"/>
    <s v="Female"/>
    <n v="23"/>
    <s v="Faridabad"/>
    <s v="DOC-108"/>
    <s v="Dr. Sanjay Gupta"/>
    <x v="1"/>
    <n v="11"/>
    <d v="2025-05-13T00:00:00"/>
    <d v="2025-05-19T00:00:00"/>
    <s v="Pneumonia Management"/>
    <s v="Follow-up"/>
    <n v="45768.2"/>
    <n v="33868.47"/>
    <n v="11899.73"/>
    <s v="Paid"/>
    <n v="6"/>
    <n v="0.74000004369846317"/>
    <n v="0.25999995630153688"/>
  </r>
  <r>
    <n v="10038"/>
    <s v="PAT-1027"/>
    <s v="Siddharth Verma"/>
    <s v="Female"/>
    <n v="33"/>
    <s v="Noida"/>
    <s v="DOC-103"/>
    <s v="Dr. Sunita Kapoor"/>
    <x v="3"/>
    <n v="14"/>
    <d v="2025-02-13T00:00:00"/>
    <d v="2025-02-23T00:00:00"/>
    <s v="Acute Ischemic Stroke"/>
    <s v="Completed"/>
    <n v="141827.26"/>
    <n v="90769.45"/>
    <n v="51057.81"/>
    <s v="Paid"/>
    <n v="10"/>
    <n v="0.6400000253829905"/>
    <n v="0.35999997461700939"/>
  </r>
  <r>
    <n v="10039"/>
    <s v="PAT-1013"/>
    <s v="Neha Nair"/>
    <s v="Female"/>
    <n v="18"/>
    <s v="Faridabad"/>
    <s v="DOC-108"/>
    <s v="Dr. Sanjay Gupta"/>
    <x v="1"/>
    <n v="11"/>
    <d v="2025-06-21T00:00:00"/>
    <d v="2025-07-03T00:00:00"/>
    <s v="Acute Viral Fever &amp; Infection"/>
    <s v="Completed"/>
    <n v="23121.72"/>
    <n v="18959.810000000001"/>
    <n v="4161.91"/>
    <s v="Paid"/>
    <n v="12"/>
    <n v="0.81999998270024899"/>
    <n v="0.18000001729975104"/>
  </r>
  <r>
    <n v="10040"/>
    <s v="PAT-1049"/>
    <s v="Pooja Verma"/>
    <s v="Male"/>
    <n v="48"/>
    <s v="Bangalore"/>
    <s v="DOC-104"/>
    <s v="Dr. Vikramaditya Rao"/>
    <x v="3"/>
    <n v="18"/>
    <d v="2025-04-04T00:00:00"/>
    <d v="2025-04-11T00:00:00"/>
    <s v="Acute Ischemic Stroke"/>
    <s v="Completed"/>
    <n v="281870.14"/>
    <n v="219858.71"/>
    <n v="62011.43"/>
    <s v="Pending"/>
    <n v="7"/>
    <n v="0.78000000283818638"/>
    <n v="0.21999999716181359"/>
  </r>
  <r>
    <n v="10041"/>
    <s v="PAT-1003"/>
    <s v="Manish Mehta"/>
    <s v="Female"/>
    <n v="62"/>
    <s v="Ghaziabad"/>
    <s v="DOC-104"/>
    <s v="Dr. Vikramaditya Rao"/>
    <x v="3"/>
    <n v="18"/>
    <d v="2025-01-23T00:00:00"/>
    <d v="2025-02-02T00:00:00"/>
    <s v="Epilepsy Monitoring"/>
    <s v="Completed"/>
    <n v="64474.31"/>
    <n v="52224.19"/>
    <n v="12250.12"/>
    <s v="Paid"/>
    <n v="10"/>
    <n v="0.80999998293894115"/>
    <n v="0.1900000170610589"/>
  </r>
  <r>
    <n v="10042"/>
    <s v="PAT-1013"/>
    <s v="Neha Nair"/>
    <s v="Female"/>
    <n v="18"/>
    <s v="Faridabad"/>
    <s v="DOC-107"/>
    <s v="Dr. Meera Nair"/>
    <x v="1"/>
    <n v="9"/>
    <d v="2025-07-14T00:00:00"/>
    <d v="2025-07-24T00:00:00"/>
    <s v="Pneumonia Management"/>
    <s v="Completed"/>
    <n v="44500.9"/>
    <n v="31595.64"/>
    <n v="12905.26"/>
    <s v="Paid"/>
    <n v="10"/>
    <n v="0.71000002247145555"/>
    <n v="0.28999997752854434"/>
  </r>
  <r>
    <n v="10043"/>
    <s v="PAT-1049"/>
    <s v="Pooja Verma"/>
    <s v="Male"/>
    <n v="48"/>
    <s v="Bangalore"/>
    <s v="DOC-101"/>
    <s v="Dr. Rajesh Khanna"/>
    <x v="0"/>
    <n v="15"/>
    <d v="2025-12-07T00:00:00"/>
    <d v="2025-12-19T00:00:00"/>
    <s v="Hypertension &amp; Arrhythmia"/>
    <s v="Completed"/>
    <n v="33949.279999999999"/>
    <n v="25801.45"/>
    <n v="8147.83"/>
    <s v="Paid"/>
    <n v="12"/>
    <n v="0.75999991752402407"/>
    <n v="0.24000008247597593"/>
  </r>
  <r>
    <n v="10044"/>
    <s v="PAT-1034"/>
    <s v="Siddharth Kumar"/>
    <s v="Male"/>
    <n v="65"/>
    <s v="Ghaziabad"/>
    <s v="DOC-107"/>
    <s v="Dr. Meera Nair"/>
    <x v="1"/>
    <n v="9"/>
    <d v="2025-04-13T00:00:00"/>
    <d v="2025-04-26T00:00:00"/>
    <s v="Acute Viral Fever &amp; Infection"/>
    <s v="Completed"/>
    <n v="9794.08"/>
    <n v="6953.8"/>
    <n v="2840.28"/>
    <s v="Paid"/>
    <n v="13"/>
    <n v="0.71000032672798263"/>
    <n v="0.28999967327201742"/>
  </r>
  <r>
    <n v="10045"/>
    <s v="PAT-1034"/>
    <s v="Siddharth Kumar"/>
    <s v="Male"/>
    <n v="65"/>
    <s v="Ghaziabad"/>
    <s v="DOC-101"/>
    <s v="Dr. Rajesh Khanna"/>
    <x v="0"/>
    <n v="15"/>
    <d v="2025-02-12T00:00:00"/>
    <d v="2025-02-15T00:00:00"/>
    <s v="Hypertension &amp; Arrhythmia"/>
    <s v="Completed"/>
    <n v="37227.449999999997"/>
    <n v="24570.12"/>
    <n v="12657.33"/>
    <s v="Paid"/>
    <n v="3"/>
    <n v="0.66000008058569692"/>
    <n v="0.33999991941430319"/>
  </r>
  <r>
    <n v="10046"/>
    <s v="PAT-1040"/>
    <s v="Pooja Mehta"/>
    <s v="Male"/>
    <n v="74"/>
    <s v="Bangalore"/>
    <s v="DOC-104"/>
    <s v="Dr. Vikramaditya Rao"/>
    <x v="3"/>
    <n v="18"/>
    <d v="2025-07-04T00:00:00"/>
    <d v="2025-07-18T00:00:00"/>
    <s v="Epilepsy Monitoring"/>
    <s v="Completed"/>
    <n v="59082.720000000001"/>
    <n v="49629.48"/>
    <n v="9453.24"/>
    <s v="Paid"/>
    <n v="14"/>
    <n v="0.83999991875797186"/>
    <n v="0.16000008124202811"/>
  </r>
  <r>
    <n v="10047"/>
    <s v="PAT-1021"/>
    <s v="Amit Gupta"/>
    <s v="Male"/>
    <n v="65"/>
    <s v="Pune"/>
    <s v="DOC-105"/>
    <s v="Dr. Amit Kumar"/>
    <x v="2"/>
    <n v="10"/>
    <d v="2025-04-03T00:00:00"/>
    <d v="2025-04-09T00:00:00"/>
    <s v="Knee Replacement Surgery"/>
    <s v="Completed"/>
    <n v="289394.78999999998"/>
    <n v="205470.3"/>
    <n v="83924.49"/>
    <s v="Paid"/>
    <n v="6"/>
    <n v="0.70999999689006155"/>
    <n v="0.29000000310993856"/>
  </r>
  <r>
    <n v="10048"/>
    <s v="PAT-1003"/>
    <s v="Manish Mehta"/>
    <s v="Female"/>
    <n v="62"/>
    <s v="Ghaziabad"/>
    <s v="DOC-101"/>
    <s v="Dr. Rajesh Khanna"/>
    <x v="0"/>
    <n v="15"/>
    <d v="2025-11-14T00:00:00"/>
    <d v="2025-11-28T00:00:00"/>
    <s v="Coronary Artery Disease"/>
    <s v="Follow-up"/>
    <n v="409237.87"/>
    <n v="343759.81"/>
    <n v="65478.06"/>
    <s v="Paid"/>
    <n v="14"/>
    <n v="0.83999999804514669"/>
    <n v="0.16000000195485328"/>
  </r>
  <r>
    <n v="10049"/>
    <s v="PAT-1041"/>
    <s v="Ananya Patel"/>
    <s v="Female"/>
    <n v="66"/>
    <s v="Delhi"/>
    <s v="DOC-101"/>
    <s v="Dr. Rajesh Khanna"/>
    <x v="0"/>
    <n v="15"/>
    <d v="2025-09-12T00:00:00"/>
    <d v="2025-09-20T00:00:00"/>
    <s v="Heart Failure Management"/>
    <s v="Completed"/>
    <n v="101899.81"/>
    <n v="75405.86"/>
    <n v="26493.95"/>
    <s v="Paid"/>
    <n v="8"/>
    <n v="0.74000000588813664"/>
    <n v="0.25999999411186342"/>
  </r>
  <r>
    <n v="10050"/>
    <s v="PAT-1050"/>
    <s v="Priya Mehta"/>
    <s v="Male"/>
    <n v="33"/>
    <s v="Mumbai"/>
    <s v="DOC-108"/>
    <s v="Dr. Sanjay Gupta"/>
    <x v="1"/>
    <n v="11"/>
    <d v="2025-10-23T00:00:00"/>
    <d v="2025-11-03T00:00:00"/>
    <s v="Acute Viral Fever &amp; Infection"/>
    <s v="Completed"/>
    <n v="20204.82"/>
    <n v="16163.86"/>
    <n v="4040.96"/>
    <s v="Paid"/>
    <n v="11"/>
    <n v="0.80000019797256305"/>
    <n v="0.19999980202743703"/>
  </r>
  <r>
    <n v="10051"/>
    <s v="PAT-1037"/>
    <s v="Kavya Kumar"/>
    <s v="Male"/>
    <n v="61"/>
    <s v="Mumbai"/>
    <s v="DOC-103"/>
    <s v="Dr. Sunita Kapoor"/>
    <x v="3"/>
    <n v="14"/>
    <d v="2025-05-09T00:00:00"/>
    <d v="2025-05-21T00:00:00"/>
    <s v="Epilepsy Monitoring"/>
    <s v="Completed"/>
    <n v="58919.78"/>
    <n v="49492.62"/>
    <n v="9427.16"/>
    <s v="Paid"/>
    <n v="12"/>
    <n v="0.84000008146669936"/>
    <n v="0.1599999185333007"/>
  </r>
  <r>
    <n v="10052"/>
    <s v="PAT-1013"/>
    <s v="Neha Nair"/>
    <s v="Female"/>
    <n v="18"/>
    <s v="Faridabad"/>
    <s v="DOC-101"/>
    <s v="Dr. Rajesh Khanna"/>
    <x v="0"/>
    <n v="15"/>
    <d v="2025-10-06T00:00:00"/>
    <d v="2025-10-12T00:00:00"/>
    <s v="Hypertension &amp; Arrhythmia"/>
    <s v="Completed"/>
    <n v="53770.400000000001"/>
    <n v="39790.1"/>
    <n v="13980.3"/>
    <s v="Pending"/>
    <n v="6"/>
    <n v="0.74000007439037085"/>
    <n v="0.25999992560962909"/>
  </r>
  <r>
    <n v="10053"/>
    <s v="PAT-1018"/>
    <s v="Pooja Saxena"/>
    <s v="Male"/>
    <n v="23"/>
    <s v="Noida"/>
    <s v="DOC-106"/>
    <s v="Dr. Neha Sharma"/>
    <x v="2"/>
    <n v="8"/>
    <d v="2025-04-16T00:00:00"/>
    <d v="2025-04-27T00:00:00"/>
    <s v="Ligament Tear Repair"/>
    <s v="Completed"/>
    <n v="87926.51"/>
    <n v="61548.56"/>
    <n v="26377.95"/>
    <s v="Paid"/>
    <n v="11"/>
    <n v="0.7000000341194027"/>
    <n v="0.29999996588059735"/>
  </r>
  <r>
    <n v="10054"/>
    <s v="PAT-1034"/>
    <s v="Siddharth Kumar"/>
    <s v="Male"/>
    <n v="65"/>
    <s v="Ghaziabad"/>
    <s v="DOC-104"/>
    <s v="Dr. Vikramaditya Rao"/>
    <x v="3"/>
    <n v="18"/>
    <d v="2025-09-27T00:00:00"/>
    <d v="2025-10-10T00:00:00"/>
    <s v="Acute Ischemic Stroke"/>
    <s v="Follow-up"/>
    <n v="113745.89"/>
    <n v="89859.25"/>
    <n v="23886.639999999999"/>
    <s v="Paid"/>
    <n v="13"/>
    <n v="0.78999997274626799"/>
    <n v="0.21000002725373199"/>
  </r>
  <r>
    <n v="10055"/>
    <s v="PAT-1042"/>
    <s v="Ananya Sharma"/>
    <s v="Female"/>
    <n v="65"/>
    <s v="Hyderabad"/>
    <s v="DOC-106"/>
    <s v="Dr. Neha Sharma"/>
    <x v="2"/>
    <n v="8"/>
    <d v="2025-07-07T00:00:00"/>
    <d v="2025-07-12T00:00:00"/>
    <s v="Knee Replacement Surgery"/>
    <s v="Follow-up"/>
    <n v="326465.09000000003"/>
    <n v="199143.7"/>
    <n v="127321.39"/>
    <s v="Paid"/>
    <n v="5"/>
    <n v="0.60999998499073815"/>
    <n v="0.39000001500926174"/>
  </r>
  <r>
    <n v="10056"/>
    <s v="PAT-1017"/>
    <s v="Ritu Saxena"/>
    <s v="Female"/>
    <n v="73"/>
    <s v="Gurgaon"/>
    <s v="DOC-104"/>
    <s v="Dr. Vikramaditya Rao"/>
    <x v="3"/>
    <n v="18"/>
    <d v="2025-10-03T00:00:00"/>
    <d v="2025-10-11T00:00:00"/>
    <s v="Acute Ischemic Stroke"/>
    <s v="Completed"/>
    <n v="258281.91"/>
    <n v="162717.6"/>
    <n v="95564.31"/>
    <s v="Paid"/>
    <n v="8"/>
    <n v="0.62999998722326311"/>
    <n v="0.37000001277673683"/>
  </r>
  <r>
    <n v="10057"/>
    <s v="PAT-1036"/>
    <s v="Rohan Joshi"/>
    <s v="Male"/>
    <n v="41"/>
    <s v="Delhi"/>
    <s v="DOC-102"/>
    <s v="Dr. Alok Verma"/>
    <x v="0"/>
    <n v="12"/>
    <d v="2025-01-03T00:00:00"/>
    <d v="2025-01-07T00:00:00"/>
    <s v="Heart Failure Management"/>
    <s v="Follow-up"/>
    <n v="102722.79"/>
    <n v="76014.86"/>
    <n v="26707.93"/>
    <s v="Paid"/>
    <n v="4"/>
    <n v="0.73999995521928486"/>
    <n v="0.2600000447807152"/>
  </r>
  <r>
    <n v="10058"/>
    <s v="PAT-1016"/>
    <s v="Manish Kumar"/>
    <s v="Female"/>
    <n v="28"/>
    <s v="Hyderabad"/>
    <s v="DOC-102"/>
    <s v="Dr. Alok Verma"/>
    <x v="0"/>
    <n v="12"/>
    <d v="2025-09-10T00:00:00"/>
    <d v="2025-09-13T00:00:00"/>
    <s v="Hypertension &amp; Arrhythmia"/>
    <s v="Completed"/>
    <n v="71218.91"/>
    <n v="56975.13"/>
    <n v="14243.78"/>
    <s v="Pending"/>
    <n v="3"/>
    <n v="0.8000000280824292"/>
    <n v="0.19999997191757077"/>
  </r>
  <r>
    <n v="10059"/>
    <s v="PAT-1030"/>
    <s v="Aarav Joshi"/>
    <s v="Male"/>
    <n v="68"/>
    <s v="Faridabad"/>
    <s v="DOC-107"/>
    <s v="Dr. Meera Nair"/>
    <x v="1"/>
    <n v="9"/>
    <d v="2025-10-24T00:00:00"/>
    <d v="2025-11-01T00:00:00"/>
    <s v="Acute Viral Fever &amp; Infection"/>
    <s v="Completed"/>
    <n v="24257.14"/>
    <n v="16252.28"/>
    <n v="8004.86"/>
    <s v="Paid"/>
    <n v="8"/>
    <n v="0.66999984334509344"/>
    <n v="0.33000015665490656"/>
  </r>
  <r>
    <n v="10060"/>
    <s v="PAT-1027"/>
    <s v="Siddharth Verma"/>
    <s v="Female"/>
    <n v="33"/>
    <s v="Noida"/>
    <s v="DOC-107"/>
    <s v="Dr. Meera Nair"/>
    <x v="1"/>
    <n v="9"/>
    <d v="2025-07-13T00:00:00"/>
    <d v="2025-07-23T00:00:00"/>
    <s v="Acute Viral Fever &amp; Infection"/>
    <s v="Follow-up"/>
    <n v="23066.16"/>
    <n v="15915.65"/>
    <n v="7150.51"/>
    <s v="Paid"/>
    <n v="10"/>
    <n v="0.68999998265857865"/>
    <n v="0.31000001734142141"/>
  </r>
  <r>
    <n v="10061"/>
    <s v="PAT-1002"/>
    <s v="Amit Saxena"/>
    <s v="Male"/>
    <n v="56"/>
    <s v="Ghaziabad"/>
    <s v="DOC-106"/>
    <s v="Dr. Neha Sharma"/>
    <x v="2"/>
    <n v="8"/>
    <d v="2025-11-06T00:00:00"/>
    <d v="2025-11-17T00:00:00"/>
    <s v="Ligament Tear Repair"/>
    <s v="Follow-up"/>
    <n v="78618.100000000006"/>
    <n v="64466.84"/>
    <n v="14151.26"/>
    <s v="Paid"/>
    <n v="11"/>
    <n v="0.8199999745605655"/>
    <n v="0.18000002543943441"/>
  </r>
  <r>
    <n v="10062"/>
    <s v="PAT-1021"/>
    <s v="Amit Gupta"/>
    <s v="Male"/>
    <n v="65"/>
    <s v="Pune"/>
    <s v="DOC-103"/>
    <s v="Dr. Sunita Kapoor"/>
    <x v="3"/>
    <n v="14"/>
    <d v="2025-10-15T00:00:00"/>
    <d v="2025-10-25T00:00:00"/>
    <s v="Migraine &amp; Nerve Compression"/>
    <s v="Follow-up"/>
    <n v="19533.23"/>
    <n v="15626.58"/>
    <n v="3906.65"/>
    <s v="Pending"/>
    <n v="10"/>
    <n v="0.7999997952207597"/>
    <n v="0.2000002047792403"/>
  </r>
  <r>
    <n v="10063"/>
    <s v="PAT-1017"/>
    <s v="Ritu Saxena"/>
    <s v="Female"/>
    <n v="73"/>
    <s v="Gurgaon"/>
    <s v="DOC-105"/>
    <s v="Dr. Amit Kumar"/>
    <x v="2"/>
    <n v="10"/>
    <d v="2025-07-11T00:00:00"/>
    <d v="2025-07-18T00:00:00"/>
    <s v="Cervical Spondylosis"/>
    <s v="Completed"/>
    <n v="21986.799999999999"/>
    <n v="13631.82"/>
    <n v="8354.98"/>
    <s v="Pending"/>
    <n v="7"/>
    <n v="0.62000018192733819"/>
    <n v="0.37999981807266175"/>
  </r>
  <r>
    <n v="10064"/>
    <s v="PAT-1017"/>
    <s v="Ritu Saxena"/>
    <s v="Female"/>
    <n v="73"/>
    <s v="Gurgaon"/>
    <s v="DOC-106"/>
    <s v="Dr. Neha Sharma"/>
    <x v="2"/>
    <n v="8"/>
    <d v="2025-08-26T00:00:00"/>
    <d v="2025-08-28T00:00:00"/>
    <s v="Ligament Tear Repair"/>
    <s v="Completed"/>
    <n v="83743.77"/>
    <n v="61970.39"/>
    <n v="21773.38"/>
    <s v="Pending"/>
    <n v="2"/>
    <n v="0.74000000238823727"/>
    <n v="0.25999999761176262"/>
  </r>
  <r>
    <n v="10065"/>
    <s v="PAT-1044"/>
    <s v="Pooja Singh"/>
    <s v="Male"/>
    <n v="67"/>
    <s v="Hyderabad"/>
    <s v="DOC-104"/>
    <s v="Dr. Vikramaditya Rao"/>
    <x v="3"/>
    <n v="18"/>
    <d v="2025-11-26T00:00:00"/>
    <d v="2025-12-04T00:00:00"/>
    <s v="Migraine &amp; Nerve Compression"/>
    <s v="Follow-up"/>
    <n v="26009.35"/>
    <n v="19507.009999999998"/>
    <n v="6502.34"/>
    <s v="Paid"/>
    <n v="8"/>
    <n v="0.7499999038807198"/>
    <n v="0.2500000961192802"/>
  </r>
  <r>
    <n v="10066"/>
    <s v="PAT-1031"/>
    <s v="Kavya Kumar"/>
    <s v="Male"/>
    <n v="53"/>
    <s v="Jaipur"/>
    <s v="DOC-107"/>
    <s v="Dr. Meera Nair"/>
    <x v="1"/>
    <n v="9"/>
    <d v="2025-02-19T00:00:00"/>
    <d v="2025-02-24T00:00:00"/>
    <s v="Pneumonia Management"/>
    <s v="Follow-up"/>
    <n v="30839.599999999999"/>
    <n v="19120.55"/>
    <n v="11719.05"/>
    <s v="Paid"/>
    <n v="5"/>
    <n v="0.61999993514831586"/>
    <n v="0.38000006485168419"/>
  </r>
  <r>
    <n v="10067"/>
    <s v="PAT-1021"/>
    <s v="Amit Gupta"/>
    <s v="Male"/>
    <n v="65"/>
    <s v="Pune"/>
    <s v="DOC-103"/>
    <s v="Dr. Sunita Kapoor"/>
    <x v="3"/>
    <n v="14"/>
    <d v="2025-05-05T00:00:00"/>
    <d v="2025-05-17T00:00:00"/>
    <s v="Acute Ischemic Stroke"/>
    <s v="Completed"/>
    <n v="260802.85"/>
    <n v="172129.88"/>
    <n v="88672.97"/>
    <s v="Pending"/>
    <n v="12"/>
    <n v="0.65999999616568605"/>
    <n v="0.34000000383431395"/>
  </r>
  <r>
    <n v="10068"/>
    <s v="PAT-1017"/>
    <s v="Ritu Saxena"/>
    <s v="Female"/>
    <n v="73"/>
    <s v="Gurgaon"/>
    <s v="DOC-106"/>
    <s v="Dr. Neha Sharma"/>
    <x v="2"/>
    <n v="8"/>
    <d v="2025-10-21T00:00:00"/>
    <d v="2025-10-31T00:00:00"/>
    <s v="Knee Replacement Surgery"/>
    <s v="Completed"/>
    <n v="361474.42"/>
    <n v="220499.4"/>
    <n v="140975.01999999999"/>
    <s v="Pending"/>
    <n v="10"/>
    <n v="0.61000001051250041"/>
    <n v="0.38999998948749953"/>
  </r>
  <r>
    <n v="10069"/>
    <s v="PAT-1010"/>
    <s v="Siddharth Rao"/>
    <s v="Male"/>
    <n v="45"/>
    <s v="Noida"/>
    <s v="DOC-102"/>
    <s v="Dr. Alok Verma"/>
    <x v="0"/>
    <n v="12"/>
    <d v="2025-03-11T00:00:00"/>
    <d v="2025-03-22T00:00:00"/>
    <s v="Hypertension &amp; Arrhythmia"/>
    <s v="Completed"/>
    <n v="49250.53"/>
    <n v="38907.919999999998"/>
    <n v="10342.61"/>
    <s v="Paid"/>
    <n v="11"/>
    <n v="0.79000002639565503"/>
    <n v="0.209999973604345"/>
  </r>
  <r>
    <n v="10070"/>
    <s v="PAT-1040"/>
    <s v="Pooja Mehta"/>
    <s v="Male"/>
    <n v="74"/>
    <s v="Bangalore"/>
    <s v="DOC-103"/>
    <s v="Dr. Sunita Kapoor"/>
    <x v="3"/>
    <n v="14"/>
    <d v="2025-09-14T00:00:00"/>
    <d v="2025-09-24T00:00:00"/>
    <s v="Epilepsy Monitoring"/>
    <s v="Completed"/>
    <n v="40334.379999999997"/>
    <n v="33880.879999999997"/>
    <n v="6453.5"/>
    <s v="Paid"/>
    <n v="10"/>
    <n v="0.84000001983419603"/>
    <n v="0.15999998016580397"/>
  </r>
  <r>
    <n v="10071"/>
    <s v="PAT-1027"/>
    <s v="Siddharth Verma"/>
    <s v="Female"/>
    <n v="33"/>
    <s v="Noida"/>
    <s v="DOC-103"/>
    <s v="Dr. Sunita Kapoor"/>
    <x v="3"/>
    <n v="14"/>
    <d v="2025-11-08T00:00:00"/>
    <d v="2025-11-20T00:00:00"/>
    <s v="Acute Ischemic Stroke"/>
    <s v="Completed"/>
    <n v="184431.91"/>
    <n v="138323.93"/>
    <n v="46107.98"/>
    <s v="Pending"/>
    <n v="12"/>
    <n v="0.74999998644486188"/>
    <n v="0.25000001355513807"/>
  </r>
  <r>
    <n v="10072"/>
    <s v="PAT-1030"/>
    <s v="Aarav Joshi"/>
    <s v="Male"/>
    <n v="68"/>
    <s v="Faridabad"/>
    <s v="DOC-106"/>
    <s v="Dr. Neha Sharma"/>
    <x v="2"/>
    <n v="8"/>
    <d v="2025-05-24T00:00:00"/>
    <d v="2025-05-31T00:00:00"/>
    <s v="Ligament Tear Repair"/>
    <s v="Completed"/>
    <n v="99448.38"/>
    <n v="63646.96"/>
    <n v="35801.42"/>
    <s v="Pending"/>
    <n v="7"/>
    <n v="0.63999996782250246"/>
    <n v="0.36000003217749749"/>
  </r>
  <r>
    <n v="10073"/>
    <s v="PAT-1034"/>
    <s v="Siddharth Kumar"/>
    <s v="Male"/>
    <n v="65"/>
    <s v="Ghaziabad"/>
    <s v="DOC-105"/>
    <s v="Dr. Amit Kumar"/>
    <x v="2"/>
    <n v="10"/>
    <d v="2025-07-30T00:00:00"/>
    <d v="2025-08-11T00:00:00"/>
    <s v="Cervical Spondylosis"/>
    <s v="Completed"/>
    <n v="41772.25"/>
    <n v="29240.57"/>
    <n v="12531.68"/>
    <s v="Pending"/>
    <n v="12"/>
    <n v="0.69999988030331139"/>
    <n v="0.30000011969668861"/>
  </r>
  <r>
    <n v="10074"/>
    <s v="PAT-1006"/>
    <s v="Neha Singh"/>
    <s v="Female"/>
    <n v="68"/>
    <s v="Mumbai"/>
    <s v="DOC-102"/>
    <s v="Dr. Alok Verma"/>
    <x v="0"/>
    <n v="12"/>
    <d v="2025-04-25T00:00:00"/>
    <d v="2025-05-01T00:00:00"/>
    <s v="Heart Failure Management"/>
    <s v="Completed"/>
    <n v="155772.32"/>
    <n v="109040.62"/>
    <n v="46731.7"/>
    <s v="Paid"/>
    <n v="6"/>
    <n v="0.69999997432149685"/>
    <n v="0.30000002567850304"/>
  </r>
  <r>
    <n v="10075"/>
    <s v="PAT-1015"/>
    <s v="Vikram Verma"/>
    <s v="Male"/>
    <n v="43"/>
    <s v="Mumbai"/>
    <s v="DOC-102"/>
    <s v="Dr. Alok Verma"/>
    <x v="0"/>
    <n v="12"/>
    <d v="2025-09-10T00:00:00"/>
    <d v="2025-09-21T00:00:00"/>
    <s v="Coronary Artery Disease"/>
    <s v="Completed"/>
    <n v="190092.83"/>
    <n v="152074.26"/>
    <n v="38018.57"/>
    <s v="Paid"/>
    <n v="11"/>
    <n v="0.7999999789576494"/>
    <n v="0.20000002104235073"/>
  </r>
  <r>
    <n v="10076"/>
    <s v="PAT-1019"/>
    <s v="Aarav Kapoor"/>
    <s v="Female"/>
    <n v="52"/>
    <s v="Hyderabad"/>
    <s v="DOC-106"/>
    <s v="Dr. Neha Sharma"/>
    <x v="2"/>
    <n v="8"/>
    <d v="2025-12-03T00:00:00"/>
    <d v="2025-12-14T00:00:00"/>
    <s v="Cervical Spondylosis"/>
    <s v="Completed"/>
    <n v="55707.79"/>
    <n v="45123.31"/>
    <n v="10584.48"/>
    <s v="Paid"/>
    <n v="11"/>
    <n v="0.81000000179508103"/>
    <n v="0.18999999820491892"/>
  </r>
  <r>
    <n v="10077"/>
    <s v="PAT-1009"/>
    <s v="Priya Kumar"/>
    <s v="Female"/>
    <n v="60"/>
    <s v="Faridabad"/>
    <s v="DOC-102"/>
    <s v="Dr. Alok Verma"/>
    <x v="0"/>
    <n v="12"/>
    <d v="2025-03-05T00:00:00"/>
    <d v="2025-03-08T00:00:00"/>
    <s v="Coronary Artery Disease"/>
    <s v="Completed"/>
    <n v="285617.52"/>
    <n v="194219.91"/>
    <n v="91397.61"/>
    <s v="Paid"/>
    <n v="3"/>
    <n v="0.6799999873957312"/>
    <n v="0.3200000126042688"/>
  </r>
  <r>
    <n v="10078"/>
    <s v="PAT-1041"/>
    <s v="Ananya Patel"/>
    <s v="Female"/>
    <n v="66"/>
    <s v="Delhi"/>
    <s v="DOC-103"/>
    <s v="Dr. Sunita Kapoor"/>
    <x v="3"/>
    <n v="14"/>
    <d v="2025-01-06T00:00:00"/>
    <d v="2025-01-18T00:00:00"/>
    <s v="Epilepsy Monitoring"/>
    <s v="Completed"/>
    <n v="76963.710000000006"/>
    <n v="53874.6"/>
    <n v="23089.11"/>
    <s v="Pending"/>
    <n v="12"/>
    <n v="0.70000003897940988"/>
    <n v="0.29999996102059007"/>
  </r>
  <r>
    <n v="10079"/>
    <s v="PAT-1002"/>
    <s v="Amit Saxena"/>
    <s v="Male"/>
    <n v="56"/>
    <s v="Ghaziabad"/>
    <s v="DOC-106"/>
    <s v="Dr. Neha Sharma"/>
    <x v="2"/>
    <n v="8"/>
    <d v="2025-10-17T00:00:00"/>
    <d v="2025-10-28T00:00:00"/>
    <s v="Cervical Spondylosis"/>
    <s v="Follow-up"/>
    <n v="37068.82"/>
    <n v="27060.240000000002"/>
    <n v="10008.58"/>
    <s v="Pending"/>
    <n v="11"/>
    <n v="0.73000003776759015"/>
    <n v="0.26999996223240991"/>
  </r>
  <r>
    <n v="10080"/>
    <s v="PAT-1014"/>
    <s v="Sneha Gupta"/>
    <s v="Male"/>
    <n v="45"/>
    <s v="Gurgaon"/>
    <s v="DOC-108"/>
    <s v="Dr. Sanjay Gupta"/>
    <x v="1"/>
    <n v="11"/>
    <d v="2025-03-30T00:00:00"/>
    <d v="2025-04-08T00:00:00"/>
    <s v="Pneumonia Management"/>
    <s v="Completed"/>
    <n v="62383.98"/>
    <n v="38678.07"/>
    <n v="23705.91"/>
    <s v="Paid"/>
    <n v="9"/>
    <n v="0.62000003847141527"/>
    <n v="0.37999996152858473"/>
  </r>
  <r>
    <n v="10081"/>
    <s v="PAT-1012"/>
    <s v="Ananya Saxena"/>
    <s v="Male"/>
    <n v="40"/>
    <s v="Delhi"/>
    <s v="DOC-105"/>
    <s v="Dr. Amit Kumar"/>
    <x v="2"/>
    <n v="10"/>
    <d v="2025-10-31T00:00:00"/>
    <d v="2025-11-03T00:00:00"/>
    <s v="Ligament Tear Repair"/>
    <s v="Completed"/>
    <n v="84834.42"/>
    <n v="67867.539999999994"/>
    <n v="16966.88"/>
    <s v="Paid"/>
    <n v="3"/>
    <n v="0.80000004715067297"/>
    <n v="0.19999995284932698"/>
  </r>
  <r>
    <n v="10082"/>
    <s v="PAT-1047"/>
    <s v="Aarav Nair"/>
    <s v="Female"/>
    <n v="56"/>
    <s v="Noida"/>
    <s v="DOC-101"/>
    <s v="Dr. Rajesh Khanna"/>
    <x v="0"/>
    <n v="15"/>
    <d v="2025-02-03T00:00:00"/>
    <d v="2025-02-08T00:00:00"/>
    <s v="Hypertension &amp; Arrhythmia"/>
    <s v="Completed"/>
    <n v="74225.25"/>
    <n v="58637.95"/>
    <n v="15587.3"/>
    <s v="Paid"/>
    <n v="5"/>
    <n v="0.7900000336812607"/>
    <n v="0.20999996631873924"/>
  </r>
  <r>
    <n v="10083"/>
    <s v="PAT-1023"/>
    <s v="Neha Rao"/>
    <s v="Male"/>
    <n v="21"/>
    <s v="Pune"/>
    <s v="DOC-104"/>
    <s v="Dr. Vikramaditya Rao"/>
    <x v="3"/>
    <n v="18"/>
    <d v="2025-10-09T00:00:00"/>
    <d v="2025-10-22T00:00:00"/>
    <s v="Epilepsy Monitoring"/>
    <s v="Completed"/>
    <n v="78981.3"/>
    <n v="49758.22"/>
    <n v="29223.08"/>
    <s v="Pending"/>
    <n v="13"/>
    <n v="0.63000001266122485"/>
    <n v="0.36999998733877515"/>
  </r>
  <r>
    <n v="10084"/>
    <s v="PAT-1012"/>
    <s v="Ananya Saxena"/>
    <s v="Male"/>
    <n v="40"/>
    <s v="Delhi"/>
    <s v="DOC-101"/>
    <s v="Dr. Rajesh Khanna"/>
    <x v="0"/>
    <n v="15"/>
    <d v="2025-01-10T00:00:00"/>
    <d v="2025-01-20T00:00:00"/>
    <s v="Coronary Artery Disease"/>
    <s v="Completed"/>
    <n v="380539.66"/>
    <n v="277793.95"/>
    <n v="102745.71"/>
    <s v="Pending"/>
    <n v="10"/>
    <n v="0.72999999526987547"/>
    <n v="0.27000000473012464"/>
  </r>
  <r>
    <n v="10085"/>
    <s v="PAT-1042"/>
    <s v="Ananya Sharma"/>
    <s v="Female"/>
    <n v="65"/>
    <s v="Hyderabad"/>
    <s v="DOC-101"/>
    <s v="Dr. Rajesh Khanna"/>
    <x v="0"/>
    <n v="15"/>
    <d v="2025-02-25T00:00:00"/>
    <d v="2025-03-11T00:00:00"/>
    <s v="Hypertension &amp; Arrhythmia"/>
    <s v="Completed"/>
    <n v="42300.38"/>
    <n v="35532.32"/>
    <n v="6768.06"/>
    <s v="Paid"/>
    <n v="14"/>
    <n v="0.84000001891235965"/>
    <n v="0.15999998108764038"/>
  </r>
  <r>
    <n v="10086"/>
    <s v="PAT-1040"/>
    <s v="Pooja Mehta"/>
    <s v="Male"/>
    <n v="74"/>
    <s v="Bangalore"/>
    <s v="DOC-108"/>
    <s v="Dr. Sanjay Gupta"/>
    <x v="1"/>
    <n v="11"/>
    <d v="2025-03-13T00:00:00"/>
    <d v="2025-03-18T00:00:00"/>
    <s v="Acute Viral Fever &amp; Infection"/>
    <s v="Completed"/>
    <n v="14007.41"/>
    <n v="11626.15"/>
    <n v="2381.2600000000002"/>
    <s v="Pending"/>
    <n v="5"/>
    <n v="0.82999997858276442"/>
    <n v="0.17000002141723561"/>
  </r>
  <r>
    <n v="10087"/>
    <s v="PAT-1001"/>
    <s v="Sneha Singh"/>
    <s v="Female"/>
    <n v="47"/>
    <s v="Delhi"/>
    <s v="DOC-107"/>
    <s v="Dr. Meera Nair"/>
    <x v="1"/>
    <n v="9"/>
    <d v="2025-07-19T00:00:00"/>
    <d v="2025-07-31T00:00:00"/>
    <s v="Pneumonia Management"/>
    <s v="Completed"/>
    <n v="58686.879999999997"/>
    <n v="38733.339999999997"/>
    <n v="19953.54"/>
    <s v="Pending"/>
    <n v="12"/>
    <n v="0.65999998636833301"/>
    <n v="0.34000001363166693"/>
  </r>
  <r>
    <n v="10088"/>
    <s v="PAT-1022"/>
    <s v="Kavya Gupta"/>
    <s v="Male"/>
    <n v="27"/>
    <s v="Faridabad"/>
    <s v="DOC-106"/>
    <s v="Dr. Neha Sharma"/>
    <x v="2"/>
    <n v="8"/>
    <d v="2025-09-18T00:00:00"/>
    <d v="2025-09-24T00:00:00"/>
    <s v="Ligament Tear Repair"/>
    <s v="Completed"/>
    <n v="132460.21"/>
    <n v="92722.15"/>
    <n v="39738.06"/>
    <s v="Pending"/>
    <n v="6"/>
    <n v="0.70000002264831074"/>
    <n v="0.29999997735168926"/>
  </r>
  <r>
    <n v="10089"/>
    <s v="PAT-1004"/>
    <s v="Neha Patel"/>
    <s v="Male"/>
    <n v="34"/>
    <s v="Ghaziabad"/>
    <s v="DOC-107"/>
    <s v="Dr. Meera Nair"/>
    <x v="1"/>
    <n v="9"/>
    <d v="2025-05-03T00:00:00"/>
    <d v="2025-05-05T00:00:00"/>
    <s v="Typhoid &amp; Severe Dehydration"/>
    <s v="Completed"/>
    <n v="30163.439999999999"/>
    <n v="19304.599999999999"/>
    <n v="10858.84"/>
    <s v="Paid"/>
    <n v="2"/>
    <n v="0.63999994695565221"/>
    <n v="0.36000005304434773"/>
  </r>
  <r>
    <n v="10090"/>
    <s v="PAT-1017"/>
    <s v="Ritu Saxena"/>
    <s v="Female"/>
    <n v="73"/>
    <s v="Gurgaon"/>
    <s v="DOC-104"/>
    <s v="Dr. Vikramaditya Rao"/>
    <x v="3"/>
    <n v="18"/>
    <d v="2025-06-11T00:00:00"/>
    <d v="2025-06-18T00:00:00"/>
    <s v="Acute Ischemic Stroke"/>
    <s v="Completed"/>
    <n v="177384.91"/>
    <n v="140134.07999999999"/>
    <n v="37250.83"/>
    <s v="Paid"/>
    <n v="7"/>
    <n v="0.79000000620120381"/>
    <n v="0.20999999379879608"/>
  </r>
  <r>
    <n v="10091"/>
    <s v="PAT-1043"/>
    <s v="Kavya Kumar"/>
    <s v="Male"/>
    <n v="35"/>
    <s v="Pune"/>
    <s v="DOC-107"/>
    <s v="Dr. Meera Nair"/>
    <x v="1"/>
    <n v="9"/>
    <d v="2025-06-08T00:00:00"/>
    <d v="2025-06-17T00:00:00"/>
    <s v="Typhoid &amp; Severe Dehydration"/>
    <s v="Completed"/>
    <n v="19383.73"/>
    <n v="15894.66"/>
    <n v="3489.07"/>
    <s v="Paid"/>
    <n v="9"/>
    <n v="0.82000007222552107"/>
    <n v="0.17999992777447893"/>
  </r>
  <r>
    <n v="10092"/>
    <s v="PAT-1021"/>
    <s v="Amit Gupta"/>
    <s v="Male"/>
    <n v="65"/>
    <s v="Pune"/>
    <s v="DOC-108"/>
    <s v="Dr. Sanjay Gupta"/>
    <x v="1"/>
    <n v="11"/>
    <d v="2025-08-26T00:00:00"/>
    <d v="2025-08-28T00:00:00"/>
    <s v="Typhoid &amp; Severe Dehydration"/>
    <s v="Follow-up"/>
    <n v="24857.66"/>
    <n v="16654.63"/>
    <n v="8203.0300000000007"/>
    <s v="Paid"/>
    <n v="2"/>
    <n v="0.66999991149609417"/>
    <n v="0.33000008850390589"/>
  </r>
  <r>
    <n v="10093"/>
    <s v="PAT-1006"/>
    <s v="Neha Singh"/>
    <s v="Female"/>
    <n v="68"/>
    <s v="Mumbai"/>
    <s v="DOC-101"/>
    <s v="Dr. Rajesh Khanna"/>
    <x v="0"/>
    <n v="15"/>
    <d v="2025-01-10T00:00:00"/>
    <d v="2025-01-14T00:00:00"/>
    <s v="Coronary Artery Disease"/>
    <s v="Completed"/>
    <n v="240017.23"/>
    <n v="158411.37"/>
    <n v="81605.86"/>
    <s v="Paid"/>
    <n v="4"/>
    <n v="0.65999999250053831"/>
    <n v="0.34000000749946158"/>
  </r>
  <r>
    <n v="10094"/>
    <s v="PAT-1044"/>
    <s v="Pooja Singh"/>
    <s v="Male"/>
    <n v="67"/>
    <s v="Hyderabad"/>
    <s v="DOC-107"/>
    <s v="Dr. Meera Nair"/>
    <x v="1"/>
    <n v="9"/>
    <d v="2025-01-23T00:00:00"/>
    <d v="2025-01-29T00:00:00"/>
    <s v="Typhoid &amp; Severe Dehydration"/>
    <s v="Completed"/>
    <n v="33750.97"/>
    <n v="26663.27"/>
    <n v="7087.7"/>
    <s v="Paid"/>
    <n v="6"/>
    <n v="0.79000010962647882"/>
    <n v="0.2099998903735211"/>
  </r>
  <r>
    <n v="10095"/>
    <s v="PAT-1008"/>
    <s v="Priya Rao"/>
    <s v="Female"/>
    <n v="37"/>
    <s v="Ghaziabad"/>
    <s v="DOC-103"/>
    <s v="Dr. Sunita Kapoor"/>
    <x v="3"/>
    <n v="14"/>
    <d v="2025-07-28T00:00:00"/>
    <d v="2025-08-10T00:00:00"/>
    <s v="Epilepsy Monitoring"/>
    <s v="Completed"/>
    <n v="49774.64"/>
    <n v="38824.22"/>
    <n v="10950.42"/>
    <s v="Paid"/>
    <n v="13"/>
    <n v="0.78000001607244174"/>
    <n v="0.21999998392755829"/>
  </r>
  <r>
    <n v="10096"/>
    <s v="PAT-1009"/>
    <s v="Priya Kumar"/>
    <s v="Female"/>
    <n v="60"/>
    <s v="Faridabad"/>
    <s v="DOC-106"/>
    <s v="Dr. Neha Sharma"/>
    <x v="2"/>
    <n v="8"/>
    <d v="2025-03-25T00:00:00"/>
    <d v="2025-04-02T00:00:00"/>
    <s v="Ligament Tear Repair"/>
    <s v="Completed"/>
    <n v="54465.3"/>
    <n v="39215.019999999997"/>
    <n v="15250.28"/>
    <s v="Paid"/>
    <n v="8"/>
    <n v="0.72000007344125516"/>
    <n v="0.27999992655874473"/>
  </r>
  <r>
    <n v="10097"/>
    <s v="PAT-1033"/>
    <s v="Vikram Joshi"/>
    <s v="Female"/>
    <n v="75"/>
    <s v="Bangalore"/>
    <s v="DOC-107"/>
    <s v="Dr. Meera Nair"/>
    <x v="1"/>
    <n v="9"/>
    <d v="2025-02-18T00:00:00"/>
    <d v="2025-02-23T00:00:00"/>
    <s v="Pneumonia Management"/>
    <s v="Follow-up"/>
    <n v="41727.57"/>
    <n v="35051.160000000003"/>
    <n v="6676.41"/>
    <s v="Paid"/>
    <n v="5"/>
    <n v="0.8400000287579652"/>
    <n v="0.15999997124203494"/>
  </r>
  <r>
    <n v="10098"/>
    <s v="PAT-1032"/>
    <s v="Rahul Joshi"/>
    <s v="Female"/>
    <n v="19"/>
    <s v="Gurgaon"/>
    <s v="DOC-108"/>
    <s v="Dr. Sanjay Gupta"/>
    <x v="1"/>
    <n v="11"/>
    <d v="2025-09-13T00:00:00"/>
    <d v="2025-09-27T00:00:00"/>
    <s v="Pneumonia Management"/>
    <s v="Completed"/>
    <n v="74739.75"/>
    <n v="59044.4"/>
    <n v="15695.35"/>
    <s v="Paid"/>
    <n v="14"/>
    <n v="0.78999996655059723"/>
    <n v="0.21000003344940277"/>
  </r>
  <r>
    <n v="10099"/>
    <s v="PAT-1043"/>
    <s v="Kavya Kumar"/>
    <s v="Male"/>
    <n v="35"/>
    <s v="Pune"/>
    <s v="DOC-104"/>
    <s v="Dr. Vikramaditya Rao"/>
    <x v="3"/>
    <n v="18"/>
    <d v="2025-04-01T00:00:00"/>
    <d v="2025-04-08T00:00:00"/>
    <s v="Migraine &amp; Nerve Compression"/>
    <s v="Follow-up"/>
    <n v="16139.75"/>
    <n v="13234.59"/>
    <n v="2905.16"/>
    <s v="Paid"/>
    <n v="7"/>
    <n v="0.81999969020585817"/>
    <n v="0.18000030979414178"/>
  </r>
  <r>
    <n v="10100"/>
    <s v="PAT-1024"/>
    <s v="Rahul Nair"/>
    <s v="Female"/>
    <n v="47"/>
    <s v="Delhi"/>
    <s v="DOC-101"/>
    <s v="Dr. Rajesh Khanna"/>
    <x v="0"/>
    <n v="15"/>
    <d v="2025-05-15T00:00:00"/>
    <d v="2025-05-28T00:00:00"/>
    <s v="Hypertension &amp; Arrhythmia"/>
    <s v="Follow-up"/>
    <n v="35004.080000000002"/>
    <n v="25903.02"/>
    <n v="9101.06"/>
    <s v="Paid"/>
    <n v="13"/>
    <n v="0.74000002285447863"/>
    <n v="0.25999997714552131"/>
  </r>
  <r>
    <n v="10101"/>
    <s v="PAT-1006"/>
    <s v="Neha Singh"/>
    <s v="Female"/>
    <n v="68"/>
    <s v="Mumbai"/>
    <s v="DOC-105"/>
    <s v="Dr. Amit Kumar"/>
    <x v="2"/>
    <n v="10"/>
    <d v="2025-04-12T00:00:00"/>
    <d v="2025-04-24T00:00:00"/>
    <s v="Knee Replacement Surgery"/>
    <s v="Follow-up"/>
    <n v="193777.6"/>
    <n v="127893.22"/>
    <n v="65884.38"/>
    <s v="Paid"/>
    <n v="12"/>
    <n v="0.66000002064222074"/>
    <n v="0.33999997935777926"/>
  </r>
  <r>
    <n v="10102"/>
    <s v="PAT-1022"/>
    <s v="Kavya Gupta"/>
    <s v="Male"/>
    <n v="27"/>
    <s v="Faridabad"/>
    <s v="DOC-102"/>
    <s v="Dr. Alok Verma"/>
    <x v="0"/>
    <n v="12"/>
    <d v="2025-12-05T00:00:00"/>
    <d v="2025-12-12T00:00:00"/>
    <s v="Hypertension &amp; Arrhythmia"/>
    <s v="Completed"/>
    <n v="55240.89"/>
    <n v="39773.440000000002"/>
    <n v="15467.45"/>
    <s v="Pending"/>
    <n v="7"/>
    <n v="0.71999998551797417"/>
    <n v="0.28000001448202594"/>
  </r>
  <r>
    <n v="10103"/>
    <s v="PAT-1035"/>
    <s v="Rahul Verma"/>
    <s v="Male"/>
    <n v="27"/>
    <s v="Noida"/>
    <s v="DOC-102"/>
    <s v="Dr. Alok Verma"/>
    <x v="0"/>
    <n v="12"/>
    <d v="2025-03-27T00:00:00"/>
    <d v="2025-03-31T00:00:00"/>
    <s v="Hypertension &amp; Arrhythmia"/>
    <s v="Completed"/>
    <n v="65632.2"/>
    <n v="54474.73"/>
    <n v="11157.47"/>
    <s v="Pending"/>
    <n v="4"/>
    <n v="0.83000006094569445"/>
    <n v="0.16999993905430566"/>
  </r>
  <r>
    <n v="10104"/>
    <s v="PAT-1002"/>
    <s v="Amit Saxena"/>
    <s v="Male"/>
    <n v="56"/>
    <s v="Ghaziabad"/>
    <s v="DOC-102"/>
    <s v="Dr. Alok Verma"/>
    <x v="0"/>
    <n v="12"/>
    <d v="2025-01-03T00:00:00"/>
    <d v="2025-01-08T00:00:00"/>
    <s v="Heart Failure Management"/>
    <s v="Follow-up"/>
    <n v="111837.25"/>
    <n v="82759.570000000007"/>
    <n v="29077.68"/>
    <s v="Pending"/>
    <n v="5"/>
    <n v="0.74000004470782321"/>
    <n v="0.25999995529217679"/>
  </r>
  <r>
    <n v="10105"/>
    <s v="PAT-1018"/>
    <s v="Pooja Saxena"/>
    <s v="Male"/>
    <n v="23"/>
    <s v="Noida"/>
    <s v="DOC-101"/>
    <s v="Dr. Rajesh Khanna"/>
    <x v="0"/>
    <n v="15"/>
    <d v="2025-09-21T00:00:00"/>
    <d v="2025-10-05T00:00:00"/>
    <s v="Heart Failure Management"/>
    <s v="Completed"/>
    <n v="150584.56"/>
    <n v="90350.74"/>
    <n v="60233.82"/>
    <s v="Paid"/>
    <n v="14"/>
    <n v="0.60000002656314833"/>
    <n v="0.39999997343685167"/>
  </r>
  <r>
    <n v="10106"/>
    <s v="PAT-1005"/>
    <s v="Rohan Verma"/>
    <s v="Female"/>
    <n v="67"/>
    <s v="Pune"/>
    <s v="DOC-108"/>
    <s v="Dr. Sanjay Gupta"/>
    <x v="1"/>
    <n v="11"/>
    <d v="2025-09-21T00:00:00"/>
    <d v="2025-10-01T00:00:00"/>
    <s v="Typhoid &amp; Severe Dehydration"/>
    <s v="Follow-up"/>
    <n v="34065.89"/>
    <n v="21802.17"/>
    <n v="12263.72"/>
    <s v="Paid"/>
    <n v="10"/>
    <n v="0.64000001174195065"/>
    <n v="0.3599999882580493"/>
  </r>
  <r>
    <n v="10107"/>
    <s v="PAT-1022"/>
    <s v="Kavya Gupta"/>
    <s v="Male"/>
    <n v="27"/>
    <s v="Faridabad"/>
    <s v="DOC-108"/>
    <s v="Dr. Sanjay Gupta"/>
    <x v="1"/>
    <n v="11"/>
    <d v="2025-06-27T00:00:00"/>
    <d v="2025-06-29T00:00:00"/>
    <s v="Pneumonia Management"/>
    <s v="Follow-up"/>
    <n v="25141.94"/>
    <n v="19610.71"/>
    <n v="5531.23"/>
    <s v="Paid"/>
    <n v="2"/>
    <n v="0.77999987272263005"/>
    <n v="0.22000012727737001"/>
  </r>
  <r>
    <n v="10108"/>
    <s v="PAT-1010"/>
    <s v="Siddharth Rao"/>
    <s v="Male"/>
    <n v="45"/>
    <s v="Noida"/>
    <s v="DOC-104"/>
    <s v="Dr. Vikramaditya Rao"/>
    <x v="3"/>
    <n v="18"/>
    <d v="2025-02-20T00:00:00"/>
    <d v="2025-02-27T00:00:00"/>
    <s v="Migraine &amp; Nerve Compression"/>
    <s v="Completed"/>
    <n v="37061.74"/>
    <n v="28537.54"/>
    <n v="8524.2000000000007"/>
    <s v="Pending"/>
    <n v="7"/>
    <n v="0.77000000539640079"/>
    <n v="0.22999999460359932"/>
  </r>
  <r>
    <n v="10109"/>
    <s v="PAT-1025"/>
    <s v="Ananya Mehta"/>
    <s v="Female"/>
    <n v="23"/>
    <s v="Faridabad"/>
    <s v="DOC-107"/>
    <s v="Dr. Meera Nair"/>
    <x v="1"/>
    <n v="9"/>
    <d v="2025-07-19T00:00:00"/>
    <d v="2025-08-02T00:00:00"/>
    <s v="Typhoid &amp; Severe Dehydration"/>
    <s v="Completed"/>
    <n v="34930.79"/>
    <n v="22006.400000000001"/>
    <n v="12924.39"/>
    <s v="Paid"/>
    <n v="14"/>
    <n v="0.63000006584448853"/>
    <n v="0.36999993415551147"/>
  </r>
  <r>
    <n v="10110"/>
    <s v="PAT-1007"/>
    <s v="Ananya Kumar"/>
    <s v="Female"/>
    <n v="45"/>
    <s v="Ghaziabad"/>
    <s v="DOC-101"/>
    <s v="Dr. Rajesh Khanna"/>
    <x v="0"/>
    <n v="15"/>
    <d v="2025-02-25T00:00:00"/>
    <d v="2025-03-11T00:00:00"/>
    <s v="Heart Failure Management"/>
    <s v="Follow-up"/>
    <n v="220573.05"/>
    <n v="163224.06"/>
    <n v="57348.99"/>
    <s v="Paid"/>
    <n v="14"/>
    <n v="0.74000001360093637"/>
    <n v="0.25999998639906374"/>
  </r>
  <r>
    <n v="10111"/>
    <s v="PAT-1035"/>
    <s v="Rahul Verma"/>
    <s v="Male"/>
    <n v="27"/>
    <s v="Noida"/>
    <s v="DOC-106"/>
    <s v="Dr. Neha Sharma"/>
    <x v="2"/>
    <n v="8"/>
    <d v="2025-04-27T00:00:00"/>
    <d v="2025-05-06T00:00:00"/>
    <s v="Knee Replacement Surgery"/>
    <s v="Completed"/>
    <n v="205566.1"/>
    <n v="148007.59"/>
    <n v="57558.51"/>
    <s v="Paid"/>
    <n v="9"/>
    <n v="0.71999999027076933"/>
    <n v="0.28000000972923067"/>
  </r>
  <r>
    <n v="10112"/>
    <s v="PAT-1037"/>
    <s v="Kavya Kumar"/>
    <s v="Male"/>
    <n v="61"/>
    <s v="Mumbai"/>
    <s v="DOC-105"/>
    <s v="Dr. Amit Kumar"/>
    <x v="2"/>
    <n v="10"/>
    <d v="2025-09-30T00:00:00"/>
    <d v="2025-10-13T00:00:00"/>
    <s v="Knee Replacement Surgery"/>
    <s v="Completed"/>
    <n v="314006.77"/>
    <n v="194684.2"/>
    <n v="119322.57"/>
    <s v="Paid"/>
    <n v="13"/>
    <n v="0.62000000828007629"/>
    <n v="0.37999999171992377"/>
  </r>
  <r>
    <n v="10113"/>
    <s v="PAT-1014"/>
    <s v="Sneha Gupta"/>
    <s v="Male"/>
    <n v="45"/>
    <s v="Gurgaon"/>
    <s v="DOC-105"/>
    <s v="Dr. Amit Kumar"/>
    <x v="2"/>
    <n v="10"/>
    <d v="2025-07-05T00:00:00"/>
    <d v="2025-07-11T00:00:00"/>
    <s v="Cervical Spondylosis"/>
    <s v="Completed"/>
    <n v="53837.05"/>
    <n v="44684.75"/>
    <n v="9152.2999999999993"/>
    <s v="Paid"/>
    <n v="6"/>
    <n v="0.82999997213814647"/>
    <n v="0.17000002786185348"/>
  </r>
  <r>
    <n v="10114"/>
    <s v="PAT-1044"/>
    <s v="Pooja Singh"/>
    <s v="Male"/>
    <n v="67"/>
    <s v="Hyderabad"/>
    <s v="DOC-102"/>
    <s v="Dr. Alok Verma"/>
    <x v="0"/>
    <n v="12"/>
    <d v="2025-05-18T00:00:00"/>
    <d v="2025-05-20T00:00:00"/>
    <s v="Heart Failure Management"/>
    <s v="Follow-up"/>
    <n v="159450.66"/>
    <n v="130749.54"/>
    <n v="28701.119999999999"/>
    <s v="Paid"/>
    <n v="2"/>
    <n v="0.81999999247416089"/>
    <n v="0.18000000752583903"/>
  </r>
  <r>
    <n v="10115"/>
    <s v="PAT-1016"/>
    <s v="Manish Kumar"/>
    <s v="Female"/>
    <n v="28"/>
    <s v="Hyderabad"/>
    <s v="DOC-102"/>
    <s v="Dr. Alok Verma"/>
    <x v="0"/>
    <n v="12"/>
    <d v="2025-06-28T00:00:00"/>
    <d v="2025-07-07T00:00:00"/>
    <s v="Hypertension &amp; Arrhythmia"/>
    <s v="Follow-up"/>
    <n v="44820.61"/>
    <n v="30029.81"/>
    <n v="14790.8"/>
    <s v="Pending"/>
    <n v="9"/>
    <n v="0.67000002900451383"/>
    <n v="0.32999997099548622"/>
  </r>
  <r>
    <n v="10116"/>
    <s v="PAT-1026"/>
    <s v="Manish Gupta"/>
    <s v="Female"/>
    <n v="47"/>
    <s v="Ghaziabad"/>
    <s v="DOC-105"/>
    <s v="Dr. Amit Kumar"/>
    <x v="2"/>
    <n v="10"/>
    <d v="2025-07-27T00:00:00"/>
    <d v="2025-08-10T00:00:00"/>
    <s v="Ligament Tear Repair"/>
    <s v="Completed"/>
    <n v="99444.01"/>
    <n v="81544.09"/>
    <n v="17899.919999999998"/>
    <s v="Pending"/>
    <n v="14"/>
    <n v="0.82000001810063772"/>
    <n v="0.17999998189936225"/>
  </r>
  <r>
    <n v="10117"/>
    <s v="PAT-1022"/>
    <s v="Kavya Gupta"/>
    <s v="Male"/>
    <n v="27"/>
    <s v="Faridabad"/>
    <s v="DOC-102"/>
    <s v="Dr. Alok Verma"/>
    <x v="0"/>
    <n v="12"/>
    <d v="2025-05-11T00:00:00"/>
    <d v="2025-05-19T00:00:00"/>
    <s v="Heart Failure Management"/>
    <s v="Completed"/>
    <n v="135404.24"/>
    <n v="89366.8"/>
    <n v="46037.440000000002"/>
    <s v="Paid"/>
    <n v="8"/>
    <n v="0.66000001181646906"/>
    <n v="0.33999998818353105"/>
  </r>
  <r>
    <n v="10118"/>
    <s v="PAT-1011"/>
    <s v="Siddharth Nair"/>
    <s v="Female"/>
    <n v="18"/>
    <s v="Hyderabad"/>
    <s v="DOC-101"/>
    <s v="Dr. Rajesh Khanna"/>
    <x v="0"/>
    <n v="15"/>
    <d v="2025-05-27T00:00:00"/>
    <d v="2025-06-04T00:00:00"/>
    <s v="Hypertension &amp; Arrhythmia"/>
    <s v="Completed"/>
    <n v="43987.98"/>
    <n v="27712.43"/>
    <n v="16275.55"/>
    <s v="Paid"/>
    <n v="8"/>
    <n v="0.63000005910705603"/>
    <n v="0.36999994089294391"/>
  </r>
  <r>
    <n v="10119"/>
    <s v="PAT-1016"/>
    <s v="Manish Kumar"/>
    <s v="Female"/>
    <n v="28"/>
    <s v="Hyderabad"/>
    <s v="DOC-105"/>
    <s v="Dr. Amit Kumar"/>
    <x v="2"/>
    <n v="10"/>
    <d v="2025-09-13T00:00:00"/>
    <d v="2025-09-19T00:00:00"/>
    <s v="Cervical Spondylosis"/>
    <s v="Completed"/>
    <n v="24175.97"/>
    <n v="18615.5"/>
    <n v="5560.47"/>
    <s v="Paid"/>
    <n v="6"/>
    <n v="0.77000012822649921"/>
    <n v="0.2299998717735007"/>
  </r>
  <r>
    <n v="10120"/>
    <s v="PAT-1027"/>
    <s v="Siddharth Verma"/>
    <s v="Female"/>
    <n v="33"/>
    <s v="Noida"/>
    <s v="DOC-106"/>
    <s v="Dr. Neha Sharma"/>
    <x v="2"/>
    <n v="8"/>
    <d v="2025-05-05T00:00:00"/>
    <d v="2025-05-15T00:00:00"/>
    <s v="Knee Replacement Surgery"/>
    <s v="Completed"/>
    <n v="217947.24"/>
    <n v="132947.82"/>
    <n v="84999.42"/>
    <s v="Paid"/>
    <n v="10"/>
    <n v="0.61000001651775915"/>
    <n v="0.38999998348224096"/>
  </r>
  <r>
    <n v="10121"/>
    <s v="PAT-1041"/>
    <s v="Ananya Patel"/>
    <s v="Female"/>
    <n v="66"/>
    <s v="Delhi"/>
    <s v="DOC-104"/>
    <s v="Dr. Vikramaditya Rao"/>
    <x v="3"/>
    <n v="18"/>
    <d v="2025-10-21T00:00:00"/>
    <d v="2025-10-28T00:00:00"/>
    <s v="Epilepsy Monitoring"/>
    <s v="Completed"/>
    <n v="47898.06"/>
    <n v="35923.54"/>
    <n v="11974.52"/>
    <s v="Pending"/>
    <n v="7"/>
    <n v="0.7499998956116386"/>
    <n v="0.25000010438836145"/>
  </r>
  <r>
    <n v="10122"/>
    <s v="PAT-1049"/>
    <s v="Pooja Verma"/>
    <s v="Male"/>
    <n v="48"/>
    <s v="Bangalore"/>
    <s v="DOC-101"/>
    <s v="Dr. Rajesh Khanna"/>
    <x v="0"/>
    <n v="15"/>
    <d v="2025-04-05T00:00:00"/>
    <d v="2025-04-16T00:00:00"/>
    <s v="Heart Failure Management"/>
    <s v="Completed"/>
    <n v="118824.83"/>
    <n v="89118.62"/>
    <n v="29706.21"/>
    <s v="Pending"/>
    <n v="11"/>
    <n v="0.74999997896062631"/>
    <n v="0.25000002103937369"/>
  </r>
  <r>
    <n v="10123"/>
    <s v="PAT-1034"/>
    <s v="Siddharth Kumar"/>
    <s v="Male"/>
    <n v="65"/>
    <s v="Ghaziabad"/>
    <s v="DOC-105"/>
    <s v="Dr. Amit Kumar"/>
    <x v="2"/>
    <n v="10"/>
    <d v="2025-08-07T00:00:00"/>
    <d v="2025-08-19T00:00:00"/>
    <s v="Knee Replacement Surgery"/>
    <s v="Completed"/>
    <n v="168203.28"/>
    <n v="134562.62"/>
    <n v="33640.660000000003"/>
    <s v="Paid"/>
    <n v="12"/>
    <n v="0.7999999762192509"/>
    <n v="0.20000002378074913"/>
  </r>
  <r>
    <n v="10124"/>
    <s v="PAT-1037"/>
    <s v="Kavya Kumar"/>
    <s v="Male"/>
    <n v="61"/>
    <s v="Mumbai"/>
    <s v="DOC-107"/>
    <s v="Dr. Meera Nair"/>
    <x v="1"/>
    <n v="9"/>
    <d v="2025-06-26T00:00:00"/>
    <d v="2025-06-29T00:00:00"/>
    <s v="Acute Viral Fever &amp; Infection"/>
    <s v="Follow-up"/>
    <n v="19730.72"/>
    <n v="15981.88"/>
    <n v="3748.84"/>
    <s v="Paid"/>
    <n v="3"/>
    <n v="0.80999983781635942"/>
    <n v="0.19000016218364052"/>
  </r>
  <r>
    <n v="10125"/>
    <s v="PAT-1022"/>
    <s v="Kavya Gupta"/>
    <s v="Male"/>
    <n v="27"/>
    <s v="Faridabad"/>
    <s v="DOC-107"/>
    <s v="Dr. Meera Nair"/>
    <x v="1"/>
    <n v="9"/>
    <d v="2025-09-16T00:00:00"/>
    <d v="2025-09-29T00:00:00"/>
    <s v="Typhoid &amp; Severe Dehydration"/>
    <s v="Completed"/>
    <n v="16986.72"/>
    <n v="12230.44"/>
    <n v="4756.28"/>
    <s v="Pending"/>
    <n v="13"/>
    <n v="0.72000009419122701"/>
    <n v="0.27999990580877293"/>
  </r>
  <r>
    <n v="10126"/>
    <s v="PAT-1044"/>
    <s v="Pooja Singh"/>
    <s v="Male"/>
    <n v="67"/>
    <s v="Hyderabad"/>
    <s v="DOC-106"/>
    <s v="Dr. Neha Sharma"/>
    <x v="2"/>
    <n v="8"/>
    <d v="2025-09-07T00:00:00"/>
    <d v="2025-09-11T00:00:00"/>
    <s v="Knee Replacement Surgery"/>
    <s v="Completed"/>
    <n v="236951.14"/>
    <n v="151648.73000000001"/>
    <n v="85302.41"/>
    <s v="Pending"/>
    <n v="4"/>
    <n v="0.64000000168811177"/>
    <n v="0.35999999831188828"/>
  </r>
  <r>
    <n v="10127"/>
    <s v="PAT-1013"/>
    <s v="Neha Nair"/>
    <s v="Female"/>
    <n v="18"/>
    <s v="Faridabad"/>
    <s v="DOC-106"/>
    <s v="Dr. Neha Sharma"/>
    <x v="2"/>
    <n v="8"/>
    <d v="2025-10-16T00:00:00"/>
    <d v="2025-10-18T00:00:00"/>
    <s v="Cervical Spondylosis"/>
    <s v="Follow-up"/>
    <n v="24150.58"/>
    <n v="18595.95"/>
    <n v="5554.63"/>
    <s v="Paid"/>
    <n v="2"/>
    <n v="0.77000014078336831"/>
    <n v="0.22999985921663163"/>
  </r>
  <r>
    <n v="10128"/>
    <s v="PAT-1007"/>
    <s v="Ananya Kumar"/>
    <s v="Female"/>
    <n v="45"/>
    <s v="Ghaziabad"/>
    <s v="DOC-103"/>
    <s v="Dr. Sunita Kapoor"/>
    <x v="3"/>
    <n v="14"/>
    <d v="2025-08-01T00:00:00"/>
    <d v="2025-08-06T00:00:00"/>
    <s v="Migraine &amp; Nerve Compression"/>
    <s v="Follow-up"/>
    <n v="26521.61"/>
    <n v="16178.18"/>
    <n v="10343.43"/>
    <s v="Pending"/>
    <n v="5"/>
    <n v="0.60999992081928656"/>
    <n v="0.39000007918071339"/>
  </r>
  <r>
    <n v="10129"/>
    <s v="PAT-1016"/>
    <s v="Manish Kumar"/>
    <s v="Female"/>
    <n v="28"/>
    <s v="Hyderabad"/>
    <s v="DOC-107"/>
    <s v="Dr. Meera Nair"/>
    <x v="1"/>
    <n v="9"/>
    <d v="2025-02-22T00:00:00"/>
    <d v="2025-03-02T00:00:00"/>
    <s v="Typhoid &amp; Severe Dehydration"/>
    <s v="Follow-up"/>
    <n v="32443.14"/>
    <n v="23034.63"/>
    <n v="9408.51"/>
    <s v="Pending"/>
    <n v="8"/>
    <n v="0.71000001849389427"/>
    <n v="0.28999998150610579"/>
  </r>
  <r>
    <n v="10130"/>
    <s v="PAT-1030"/>
    <s v="Aarav Joshi"/>
    <s v="Male"/>
    <n v="68"/>
    <s v="Faridabad"/>
    <s v="DOC-102"/>
    <s v="Dr. Alok Verma"/>
    <x v="0"/>
    <n v="12"/>
    <d v="2025-03-08T00:00:00"/>
    <d v="2025-03-12T00:00:00"/>
    <s v="Heart Failure Management"/>
    <s v="Completed"/>
    <n v="153199.45000000001"/>
    <n v="111835.6"/>
    <n v="41363.85"/>
    <s v="Paid"/>
    <n v="4"/>
    <n v="0.73000000979115787"/>
    <n v="0.26999999020884208"/>
  </r>
  <r>
    <n v="10131"/>
    <s v="PAT-1005"/>
    <s v="Rohan Verma"/>
    <s v="Female"/>
    <n v="67"/>
    <s v="Pune"/>
    <s v="DOC-101"/>
    <s v="Dr. Rajesh Khanna"/>
    <x v="0"/>
    <n v="15"/>
    <d v="2025-10-09T00:00:00"/>
    <d v="2025-10-17T00:00:00"/>
    <s v="Heart Failure Management"/>
    <s v="Completed"/>
    <n v="190082.03"/>
    <n v="134958.24"/>
    <n v="55123.79"/>
    <s v="Paid"/>
    <n v="8"/>
    <n v="0.70999999316084739"/>
    <n v="0.29000000683915256"/>
  </r>
  <r>
    <n v="10132"/>
    <s v="PAT-1017"/>
    <s v="Ritu Saxena"/>
    <s v="Female"/>
    <n v="73"/>
    <s v="Gurgaon"/>
    <s v="DOC-104"/>
    <s v="Dr. Vikramaditya Rao"/>
    <x v="3"/>
    <n v="18"/>
    <d v="2025-01-08T00:00:00"/>
    <d v="2025-01-16T00:00:00"/>
    <s v="Migraine &amp; Nerve Compression"/>
    <s v="Completed"/>
    <n v="37241.440000000002"/>
    <n v="24579.35"/>
    <n v="12662.09"/>
    <s v="Paid"/>
    <n v="8"/>
    <n v="0.65999998925927672"/>
    <n v="0.34000001074072322"/>
  </r>
  <r>
    <n v="10133"/>
    <s v="PAT-1025"/>
    <s v="Ananya Mehta"/>
    <s v="Female"/>
    <n v="23"/>
    <s v="Faridabad"/>
    <s v="DOC-105"/>
    <s v="Dr. Amit Kumar"/>
    <x v="2"/>
    <n v="10"/>
    <d v="2025-05-29T00:00:00"/>
    <d v="2025-06-01T00:00:00"/>
    <s v="Ligament Tear Repair"/>
    <s v="Completed"/>
    <n v="62830.91"/>
    <n v="44609.95"/>
    <n v="18220.96"/>
    <s v="Paid"/>
    <n v="3"/>
    <n v="0.71000006207135935"/>
    <n v="0.28999993792864048"/>
  </r>
  <r>
    <n v="10134"/>
    <s v="PAT-1034"/>
    <s v="Siddharth Kumar"/>
    <s v="Male"/>
    <n v="65"/>
    <s v="Ghaziabad"/>
    <s v="DOC-107"/>
    <s v="Dr. Meera Nair"/>
    <x v="1"/>
    <n v="9"/>
    <d v="2025-10-21T00:00:00"/>
    <d v="2025-10-28T00:00:00"/>
    <s v="Pneumonia Management"/>
    <s v="Completed"/>
    <n v="41766.54"/>
    <n v="34248.559999999998"/>
    <n v="7517.98"/>
    <s v="Paid"/>
    <n v="7"/>
    <n v="0.81999993296069051"/>
    <n v="0.18000006703930943"/>
  </r>
  <r>
    <n v="10135"/>
    <s v="PAT-1019"/>
    <s v="Aarav Kapoor"/>
    <s v="Female"/>
    <n v="52"/>
    <s v="Hyderabad"/>
    <s v="DOC-101"/>
    <s v="Dr. Rajesh Khanna"/>
    <x v="0"/>
    <n v="15"/>
    <d v="2025-04-26T00:00:00"/>
    <d v="2025-05-08T00:00:00"/>
    <s v="Heart Failure Management"/>
    <s v="Completed"/>
    <n v="142675.9"/>
    <n v="102726.65"/>
    <n v="39949.25"/>
    <s v="Paid"/>
    <n v="12"/>
    <n v="0.72000001401778435"/>
    <n v="0.27999998598221565"/>
  </r>
  <r>
    <n v="10136"/>
    <s v="PAT-1023"/>
    <s v="Neha Rao"/>
    <s v="Male"/>
    <n v="21"/>
    <s v="Pune"/>
    <s v="DOC-107"/>
    <s v="Dr. Meera Nair"/>
    <x v="1"/>
    <n v="9"/>
    <d v="2025-04-17T00:00:00"/>
    <d v="2025-04-30T00:00:00"/>
    <s v="Typhoid &amp; Severe Dehydration"/>
    <s v="Completed"/>
    <n v="21937.51"/>
    <n v="14917.51"/>
    <n v="7020"/>
    <s v="Pending"/>
    <n v="13"/>
    <n v="0.68000014586887947"/>
    <n v="0.31999985413112064"/>
  </r>
  <r>
    <n v="10137"/>
    <s v="PAT-1049"/>
    <s v="Pooja Verma"/>
    <s v="Male"/>
    <n v="48"/>
    <s v="Bangalore"/>
    <s v="DOC-104"/>
    <s v="Dr. Vikramaditya Rao"/>
    <x v="3"/>
    <n v="18"/>
    <d v="2025-02-22T00:00:00"/>
    <d v="2025-03-01T00:00:00"/>
    <s v="Acute Ischemic Stroke"/>
    <s v="Follow-up"/>
    <n v="146891.51999999999"/>
    <n v="111637.56"/>
    <n v="35253.96"/>
    <s v="Paid"/>
    <n v="7"/>
    <n v="0.76000003267717564"/>
    <n v="0.23999996732282436"/>
  </r>
  <r>
    <n v="10138"/>
    <s v="PAT-1026"/>
    <s v="Manish Gupta"/>
    <s v="Female"/>
    <n v="47"/>
    <s v="Ghaziabad"/>
    <s v="DOC-107"/>
    <s v="Dr. Meera Nair"/>
    <x v="1"/>
    <n v="9"/>
    <d v="2025-07-24T00:00:00"/>
    <d v="2025-07-30T00:00:00"/>
    <s v="Acute Viral Fever &amp; Infection"/>
    <s v="Completed"/>
    <n v="22989.53"/>
    <n v="15862.78"/>
    <n v="7126.75"/>
    <s v="Paid"/>
    <n v="6"/>
    <n v="0.69000018704166644"/>
    <n v="0.30999981295833368"/>
  </r>
  <r>
    <n v="10139"/>
    <s v="PAT-1018"/>
    <s v="Pooja Saxena"/>
    <s v="Male"/>
    <n v="23"/>
    <s v="Noida"/>
    <s v="DOC-103"/>
    <s v="Dr. Sunita Kapoor"/>
    <x v="3"/>
    <n v="14"/>
    <d v="2025-03-20T00:00:00"/>
    <d v="2025-03-29T00:00:00"/>
    <s v="Acute Ischemic Stroke"/>
    <s v="Follow-up"/>
    <n v="108166.22"/>
    <n v="88696.3"/>
    <n v="19469.919999999998"/>
    <s v="Paid"/>
    <n v="9"/>
    <n v="0.81999999630198783"/>
    <n v="0.18000000369801217"/>
  </r>
  <r>
    <n v="10140"/>
    <s v="PAT-1004"/>
    <s v="Neha Patel"/>
    <s v="Male"/>
    <n v="34"/>
    <s v="Ghaziabad"/>
    <s v="DOC-107"/>
    <s v="Dr. Meera Nair"/>
    <x v="1"/>
    <n v="9"/>
    <d v="2025-09-02T00:00:00"/>
    <d v="2025-09-11T00:00:00"/>
    <s v="Typhoid &amp; Severe Dehydration"/>
    <s v="Completed"/>
    <n v="31975.22"/>
    <n v="19504.88"/>
    <n v="12470.34"/>
    <s v="Pending"/>
    <n v="9"/>
    <n v="0.60999986864828448"/>
    <n v="0.39000013135171546"/>
  </r>
  <r>
    <n v="10141"/>
    <s v="PAT-1012"/>
    <s v="Ananya Saxena"/>
    <s v="Male"/>
    <n v="40"/>
    <s v="Delhi"/>
    <s v="DOC-107"/>
    <s v="Dr. Meera Nair"/>
    <x v="1"/>
    <n v="9"/>
    <d v="2025-03-22T00:00:00"/>
    <d v="2025-04-01T00:00:00"/>
    <s v="Acute Viral Fever &amp; Infection"/>
    <s v="Completed"/>
    <n v="11425.33"/>
    <n v="6855.2"/>
    <n v="4570.13"/>
    <s v="Pending"/>
    <n v="10"/>
    <n v="0.60000017504964842"/>
    <n v="0.39999982495035158"/>
  </r>
  <r>
    <n v="10142"/>
    <s v="PAT-1029"/>
    <s v="Amit Rao"/>
    <s v="Female"/>
    <n v="59"/>
    <s v="Jaipur"/>
    <s v="DOC-101"/>
    <s v="Dr. Rajesh Khanna"/>
    <x v="0"/>
    <n v="15"/>
    <d v="2025-03-06T00:00:00"/>
    <d v="2025-03-19T00:00:00"/>
    <s v="Hypertension &amp; Arrhythmia"/>
    <s v="Completed"/>
    <n v="79234.58"/>
    <n v="52294.82"/>
    <n v="26939.759999999998"/>
    <s v="Pending"/>
    <n v="13"/>
    <n v="0.65999996466189381"/>
    <n v="0.34000003533810613"/>
  </r>
  <r>
    <n v="10143"/>
    <s v="PAT-1026"/>
    <s v="Manish Gupta"/>
    <s v="Female"/>
    <n v="47"/>
    <s v="Ghaziabad"/>
    <s v="DOC-108"/>
    <s v="Dr. Sanjay Gupta"/>
    <x v="1"/>
    <n v="11"/>
    <d v="2025-09-30T00:00:00"/>
    <d v="2025-10-05T00:00:00"/>
    <s v="Acute Viral Fever &amp; Infection"/>
    <s v="Follow-up"/>
    <n v="19807.11"/>
    <n v="13864.98"/>
    <n v="5942.13"/>
    <s v="Pending"/>
    <n v="5"/>
    <n v="0.70000015146076333"/>
    <n v="0.29999984853923667"/>
  </r>
  <r>
    <n v="10144"/>
    <s v="PAT-1025"/>
    <s v="Ananya Mehta"/>
    <s v="Female"/>
    <n v="23"/>
    <s v="Faridabad"/>
    <s v="DOC-106"/>
    <s v="Dr. Neha Sharma"/>
    <x v="2"/>
    <n v="8"/>
    <d v="2025-03-31T00:00:00"/>
    <d v="2025-04-12T00:00:00"/>
    <s v="Cervical Spondylosis"/>
    <s v="Completed"/>
    <n v="23394.47"/>
    <n v="19651.349999999999"/>
    <n v="3743.12"/>
    <s v="Pending"/>
    <n v="12"/>
    <n v="0.83999979482330644"/>
    <n v="0.16000020517669344"/>
  </r>
  <r>
    <n v="10145"/>
    <s v="PAT-1010"/>
    <s v="Siddharth Rao"/>
    <s v="Male"/>
    <n v="45"/>
    <s v="Noida"/>
    <s v="DOC-108"/>
    <s v="Dr. Sanjay Gupta"/>
    <x v="1"/>
    <n v="11"/>
    <d v="2025-01-02T00:00:00"/>
    <d v="2025-01-04T00:00:00"/>
    <s v="Acute Viral Fever &amp; Infection"/>
    <s v="Follow-up"/>
    <n v="23752.400000000001"/>
    <n v="14964.01"/>
    <n v="8788.39"/>
    <s v="Pending"/>
    <n v="2"/>
    <n v="0.62999991579798253"/>
    <n v="0.37000008420201741"/>
  </r>
  <r>
    <n v="10146"/>
    <s v="PAT-1023"/>
    <s v="Neha Rao"/>
    <s v="Male"/>
    <n v="21"/>
    <s v="Pune"/>
    <s v="DOC-103"/>
    <s v="Dr. Sunita Kapoor"/>
    <x v="3"/>
    <n v="14"/>
    <d v="2025-11-17T00:00:00"/>
    <d v="2025-12-01T00:00:00"/>
    <s v="Acute Ischemic Stroke"/>
    <s v="Follow-up"/>
    <n v="291916.27"/>
    <n v="230613.85"/>
    <n v="61302.42"/>
    <s v="Pending"/>
    <n v="14"/>
    <n v="0.78999998869538857"/>
    <n v="0.21000001130461141"/>
  </r>
  <r>
    <n v="10147"/>
    <s v="PAT-1045"/>
    <s v="Sneha Sharma"/>
    <s v="Male"/>
    <n v="44"/>
    <s v="Hyderabad"/>
    <s v="DOC-102"/>
    <s v="Dr. Alok Verma"/>
    <x v="0"/>
    <n v="12"/>
    <d v="2025-03-07T00:00:00"/>
    <d v="2025-03-15T00:00:00"/>
    <s v="Hypertension &amp; Arrhythmia"/>
    <s v="Completed"/>
    <n v="28307.69"/>
    <n v="22646.15"/>
    <n v="5661.54"/>
    <s v="Pending"/>
    <n v="8"/>
    <n v="0.79999992934782038"/>
    <n v="0.20000007065217967"/>
  </r>
  <r>
    <n v="10148"/>
    <s v="PAT-1044"/>
    <s v="Pooja Singh"/>
    <s v="Male"/>
    <n v="67"/>
    <s v="Hyderabad"/>
    <s v="DOC-106"/>
    <s v="Dr. Neha Sharma"/>
    <x v="2"/>
    <n v="8"/>
    <d v="2025-08-05T00:00:00"/>
    <d v="2025-08-13T00:00:00"/>
    <s v="Ligament Tear Repair"/>
    <s v="Completed"/>
    <n v="53317.2"/>
    <n v="37855.21"/>
    <n v="15461.99"/>
    <s v="Pending"/>
    <n v="8"/>
    <n v="0.70999996248865282"/>
    <n v="0.29000003751134718"/>
  </r>
  <r>
    <n v="10149"/>
    <s v="PAT-1028"/>
    <s v="Vikram Kumar"/>
    <s v="Male"/>
    <n v="18"/>
    <s v="Delhi"/>
    <s v="DOC-107"/>
    <s v="Dr. Meera Nair"/>
    <x v="1"/>
    <n v="9"/>
    <d v="2025-01-16T00:00:00"/>
    <d v="2025-01-22T00:00:00"/>
    <s v="Typhoid &amp; Severe Dehydration"/>
    <s v="Completed"/>
    <n v="32378.71"/>
    <n v="20722.37"/>
    <n v="11656.34"/>
    <s v="Paid"/>
    <n v="6"/>
    <n v="0.6399998641082365"/>
    <n v="0.36000013589176344"/>
  </r>
  <r>
    <n v="10150"/>
    <s v="PAT-1037"/>
    <s v="Kavya Kumar"/>
    <s v="Male"/>
    <n v="61"/>
    <s v="Mumbai"/>
    <s v="DOC-103"/>
    <s v="Dr. Sunita Kapoor"/>
    <x v="3"/>
    <n v="14"/>
    <d v="2025-07-07T00:00:00"/>
    <d v="2025-07-17T00:00:00"/>
    <s v="Acute Ischemic Stroke"/>
    <s v="Completed"/>
    <n v="169667.46"/>
    <n v="139127.32"/>
    <n v="30540.14"/>
    <s v="Paid"/>
    <n v="10"/>
    <n v="0.82000001650286991"/>
    <n v="0.17999998349713023"/>
  </r>
  <r>
    <n v="10151"/>
    <s v="PAT-1002"/>
    <s v="Amit Saxena"/>
    <s v="Male"/>
    <n v="56"/>
    <s v="Ghaziabad"/>
    <s v="DOC-102"/>
    <s v="Dr. Alok Verma"/>
    <x v="0"/>
    <n v="12"/>
    <d v="2025-02-16T00:00:00"/>
    <d v="2025-02-23T00:00:00"/>
    <s v="Coronary Artery Disease"/>
    <s v="Completed"/>
    <n v="246163.49"/>
    <n v="169852.81"/>
    <n v="76310.679999999993"/>
    <s v="Paid"/>
    <n v="7"/>
    <n v="0.69000000771844761"/>
    <n v="0.30999999228155239"/>
  </r>
  <r>
    <n v="10152"/>
    <s v="PAT-1047"/>
    <s v="Aarav Nair"/>
    <s v="Female"/>
    <n v="56"/>
    <s v="Noida"/>
    <s v="DOC-105"/>
    <s v="Dr. Amit Kumar"/>
    <x v="2"/>
    <n v="10"/>
    <d v="2025-04-13T00:00:00"/>
    <d v="2025-04-18T00:00:00"/>
    <s v="Cervical Spondylosis"/>
    <s v="Completed"/>
    <n v="23099.19"/>
    <n v="17324.39"/>
    <n v="5774.8"/>
    <s v="Paid"/>
    <n v="5"/>
    <n v="0.74999989177109672"/>
    <n v="0.25000010822890328"/>
  </r>
  <r>
    <n v="10153"/>
    <s v="PAT-1002"/>
    <s v="Amit Saxena"/>
    <s v="Male"/>
    <n v="56"/>
    <s v="Ghaziabad"/>
    <s v="DOC-103"/>
    <s v="Dr. Sunita Kapoor"/>
    <x v="3"/>
    <n v="14"/>
    <d v="2025-03-03T00:00:00"/>
    <d v="2025-03-07T00:00:00"/>
    <s v="Acute Ischemic Stroke"/>
    <s v="Completed"/>
    <n v="243364.81"/>
    <n v="182523.61"/>
    <n v="60841.2"/>
    <s v="Pending"/>
    <n v="4"/>
    <n v="0.75000001027264374"/>
    <n v="0.24999998972735621"/>
  </r>
  <r>
    <n v="10154"/>
    <s v="PAT-1028"/>
    <s v="Vikram Kumar"/>
    <s v="Male"/>
    <n v="18"/>
    <s v="Delhi"/>
    <s v="DOC-104"/>
    <s v="Dr. Vikramaditya Rao"/>
    <x v="3"/>
    <n v="18"/>
    <d v="2025-03-08T00:00:00"/>
    <d v="2025-03-11T00:00:00"/>
    <s v="Acute Ischemic Stroke"/>
    <s v="Follow-up"/>
    <n v="279014.36"/>
    <n v="198100.2"/>
    <n v="80914.16"/>
    <s v="Paid"/>
    <n v="3"/>
    <n v="0.71000001576979777"/>
    <n v="0.28999998423020235"/>
  </r>
  <r>
    <n v="10155"/>
    <s v="PAT-1029"/>
    <s v="Amit Rao"/>
    <s v="Female"/>
    <n v="59"/>
    <s v="Jaipur"/>
    <s v="DOC-104"/>
    <s v="Dr. Vikramaditya Rao"/>
    <x v="3"/>
    <n v="18"/>
    <d v="2025-04-03T00:00:00"/>
    <d v="2025-04-06T00:00:00"/>
    <s v="Migraine &amp; Nerve Compression"/>
    <s v="Completed"/>
    <n v="39435.42"/>
    <n v="33125.75"/>
    <n v="6309.67"/>
    <s v="Pending"/>
    <n v="3"/>
    <n v="0.83999992899784004"/>
    <n v="0.16000007100215999"/>
  </r>
  <r>
    <n v="10156"/>
    <s v="PAT-1022"/>
    <s v="Kavya Gupta"/>
    <s v="Male"/>
    <n v="27"/>
    <s v="Faridabad"/>
    <s v="DOC-104"/>
    <s v="Dr. Vikramaditya Rao"/>
    <x v="3"/>
    <n v="18"/>
    <d v="2025-05-01T00:00:00"/>
    <d v="2025-05-06T00:00:00"/>
    <s v="Acute Ischemic Stroke"/>
    <s v="Completed"/>
    <n v="148075.41"/>
    <n v="99210.52"/>
    <n v="48864.89"/>
    <s v="Paid"/>
    <n v="5"/>
    <n v="0.66999996825941599"/>
    <n v="0.33000003174058407"/>
  </r>
  <r>
    <n v="10157"/>
    <s v="PAT-1037"/>
    <s v="Kavya Kumar"/>
    <s v="Male"/>
    <n v="61"/>
    <s v="Mumbai"/>
    <s v="DOC-104"/>
    <s v="Dr. Vikramaditya Rao"/>
    <x v="3"/>
    <n v="18"/>
    <d v="2025-07-17T00:00:00"/>
    <d v="2025-07-28T00:00:00"/>
    <s v="Acute Ischemic Stroke"/>
    <s v="Completed"/>
    <n v="251855.61"/>
    <n v="193928.82"/>
    <n v="57926.79"/>
    <s v="Paid"/>
    <n v="11"/>
    <n v="0.77000000119115874"/>
    <n v="0.22999999880884131"/>
  </r>
  <r>
    <n v="10158"/>
    <s v="PAT-1050"/>
    <s v="Priya Mehta"/>
    <s v="Male"/>
    <n v="33"/>
    <s v="Mumbai"/>
    <s v="DOC-103"/>
    <s v="Dr. Sunita Kapoor"/>
    <x v="3"/>
    <n v="14"/>
    <d v="2025-02-24T00:00:00"/>
    <d v="2025-03-08T00:00:00"/>
    <s v="Migraine &amp; Nerve Compression"/>
    <s v="Completed"/>
    <n v="17154.53"/>
    <n v="13037.44"/>
    <n v="4117.09"/>
    <s v="Pending"/>
    <n v="12"/>
    <n v="0.75999983677780747"/>
    <n v="0.24000016322219264"/>
  </r>
  <r>
    <n v="10159"/>
    <s v="PAT-1049"/>
    <s v="Pooja Verma"/>
    <s v="Male"/>
    <n v="48"/>
    <s v="Bangalore"/>
    <s v="DOC-106"/>
    <s v="Dr. Neha Sharma"/>
    <x v="2"/>
    <n v="8"/>
    <d v="2025-01-14T00:00:00"/>
    <d v="2025-01-22T00:00:00"/>
    <s v="Knee Replacement Surgery"/>
    <s v="Follow-up"/>
    <n v="321184.17"/>
    <n v="256947.34"/>
    <n v="64236.83"/>
    <s v="Pending"/>
    <n v="8"/>
    <n v="0.80000001245391394"/>
    <n v="0.19999998754608611"/>
  </r>
  <r>
    <n v="10160"/>
    <s v="PAT-1010"/>
    <s v="Siddharth Rao"/>
    <s v="Male"/>
    <n v="45"/>
    <s v="Noida"/>
    <s v="DOC-107"/>
    <s v="Dr. Meera Nair"/>
    <x v="1"/>
    <n v="9"/>
    <d v="2025-11-22T00:00:00"/>
    <d v="2025-11-30T00:00:00"/>
    <s v="Pneumonia Management"/>
    <s v="Completed"/>
    <n v="70381.149999999994"/>
    <n v="43636.31"/>
    <n v="26744.84"/>
    <s v="Paid"/>
    <n v="8"/>
    <n v="0.61999995737495051"/>
    <n v="0.38000004262504949"/>
  </r>
  <r>
    <n v="10161"/>
    <s v="PAT-1027"/>
    <s v="Siddharth Verma"/>
    <s v="Female"/>
    <n v="33"/>
    <s v="Noida"/>
    <s v="DOC-105"/>
    <s v="Dr. Amit Kumar"/>
    <x v="2"/>
    <n v="10"/>
    <d v="2025-06-19T00:00:00"/>
    <d v="2025-06-21T00:00:00"/>
    <s v="Cervical Spondylosis"/>
    <s v="Completed"/>
    <n v="51237.45"/>
    <n v="36378.589999999997"/>
    <n v="14858.86"/>
    <s v="Paid"/>
    <n v="2"/>
    <n v="0.7100000097584872"/>
    <n v="0.28999999024151285"/>
  </r>
  <r>
    <n v="10162"/>
    <s v="PAT-1010"/>
    <s v="Siddharth Rao"/>
    <s v="Male"/>
    <n v="45"/>
    <s v="Noida"/>
    <s v="DOC-104"/>
    <s v="Dr. Vikramaditya Rao"/>
    <x v="3"/>
    <n v="18"/>
    <d v="2025-11-05T00:00:00"/>
    <d v="2025-11-12T00:00:00"/>
    <s v="Acute Ischemic Stroke"/>
    <s v="Completed"/>
    <n v="259911.52"/>
    <n v="179338.95"/>
    <n v="80572.570000000007"/>
    <s v="Paid"/>
    <n v="7"/>
    <n v="0.69000000461695588"/>
    <n v="0.30999999538304424"/>
  </r>
  <r>
    <n v="10163"/>
    <s v="PAT-1032"/>
    <s v="Rahul Joshi"/>
    <s v="Female"/>
    <n v="19"/>
    <s v="Gurgaon"/>
    <s v="DOC-103"/>
    <s v="Dr. Sunita Kapoor"/>
    <x v="3"/>
    <n v="14"/>
    <d v="2025-06-09T00:00:00"/>
    <d v="2025-06-21T00:00:00"/>
    <s v="Migraine &amp; Nerve Compression"/>
    <s v="Completed"/>
    <n v="39127.68"/>
    <n v="32475.97"/>
    <n v="6651.71"/>
    <s v="Pending"/>
    <n v="12"/>
    <n v="0.82999988754763898"/>
    <n v="0.1700001124523611"/>
  </r>
  <r>
    <n v="10164"/>
    <s v="PAT-1019"/>
    <s v="Aarav Kapoor"/>
    <s v="Female"/>
    <n v="52"/>
    <s v="Hyderabad"/>
    <s v="DOC-101"/>
    <s v="Dr. Rajesh Khanna"/>
    <x v="0"/>
    <n v="15"/>
    <d v="2025-04-04T00:00:00"/>
    <d v="2025-04-17T00:00:00"/>
    <s v="Heart Failure Management"/>
    <s v="Follow-up"/>
    <n v="212166.01"/>
    <n v="178219.45"/>
    <n v="33946.559999999998"/>
    <s v="Pending"/>
    <n v="13"/>
    <n v="0.84000000754126447"/>
    <n v="0.15999999245873547"/>
  </r>
  <r>
    <n v="10165"/>
    <s v="PAT-1022"/>
    <s v="Kavya Gupta"/>
    <s v="Male"/>
    <n v="27"/>
    <s v="Faridabad"/>
    <s v="DOC-105"/>
    <s v="Dr. Amit Kumar"/>
    <x v="2"/>
    <n v="10"/>
    <d v="2025-08-22T00:00:00"/>
    <d v="2025-08-30T00:00:00"/>
    <s v="Ligament Tear Repair"/>
    <s v="Follow-up"/>
    <n v="70244.95"/>
    <n v="59005.760000000002"/>
    <n v="11239.19"/>
    <s v="Paid"/>
    <n v="8"/>
    <n v="0.84000002847179767"/>
    <n v="0.15999997152820239"/>
  </r>
  <r>
    <n v="10166"/>
    <s v="PAT-1010"/>
    <s v="Siddharth Rao"/>
    <s v="Male"/>
    <n v="45"/>
    <s v="Noida"/>
    <s v="DOC-104"/>
    <s v="Dr. Vikramaditya Rao"/>
    <x v="3"/>
    <n v="18"/>
    <d v="2025-11-06T00:00:00"/>
    <d v="2025-11-12T00:00:00"/>
    <s v="Acute Ischemic Stroke"/>
    <s v="Completed"/>
    <n v="300145.2"/>
    <n v="243117.61"/>
    <n v="57027.59"/>
    <s v="Paid"/>
    <n v="6"/>
    <n v="0.80999999333655837"/>
    <n v="0.19000000666344155"/>
  </r>
  <r>
    <n v="10167"/>
    <s v="PAT-1025"/>
    <s v="Ananya Mehta"/>
    <s v="Female"/>
    <n v="23"/>
    <s v="Faridabad"/>
    <s v="DOC-104"/>
    <s v="Dr. Vikramaditya Rao"/>
    <x v="3"/>
    <n v="18"/>
    <d v="2025-08-29T00:00:00"/>
    <d v="2025-09-11T00:00:00"/>
    <s v="Epilepsy Monitoring"/>
    <s v="Completed"/>
    <n v="91196.17"/>
    <n v="74780.86"/>
    <n v="16415.310000000001"/>
    <s v="Pending"/>
    <n v="13"/>
    <n v="0.82000000657922367"/>
    <n v="0.17999999342077636"/>
  </r>
  <r>
    <n v="10168"/>
    <s v="PAT-1022"/>
    <s v="Kavya Gupta"/>
    <s v="Male"/>
    <n v="27"/>
    <s v="Faridabad"/>
    <s v="DOC-104"/>
    <s v="Dr. Vikramaditya Rao"/>
    <x v="3"/>
    <n v="18"/>
    <d v="2025-09-09T00:00:00"/>
    <d v="2025-09-18T00:00:00"/>
    <s v="Migraine &amp; Nerve Compression"/>
    <s v="Completed"/>
    <n v="22803.61"/>
    <n v="16874.669999999998"/>
    <n v="5928.94"/>
    <s v="Paid"/>
    <n v="9"/>
    <n v="0.73999993860621183"/>
    <n v="0.26000006139378806"/>
  </r>
  <r>
    <n v="10169"/>
    <s v="PAT-1016"/>
    <s v="Manish Kumar"/>
    <s v="Female"/>
    <n v="28"/>
    <s v="Hyderabad"/>
    <s v="DOC-106"/>
    <s v="Dr. Neha Sharma"/>
    <x v="2"/>
    <n v="8"/>
    <d v="2025-11-08T00:00:00"/>
    <d v="2025-11-12T00:00:00"/>
    <s v="Knee Replacement Surgery"/>
    <s v="Completed"/>
    <n v="203651.32"/>
    <n v="126263.82"/>
    <n v="77387.5"/>
    <s v="Paid"/>
    <n v="4"/>
    <n v="0.62000000785656584"/>
    <n v="0.37999999214343416"/>
  </r>
  <r>
    <n v="10170"/>
    <s v="PAT-1012"/>
    <s v="Ananya Saxena"/>
    <s v="Male"/>
    <n v="40"/>
    <s v="Delhi"/>
    <s v="DOC-108"/>
    <s v="Dr. Sanjay Gupta"/>
    <x v="1"/>
    <n v="11"/>
    <d v="2025-07-24T00:00:00"/>
    <d v="2025-08-03T00:00:00"/>
    <s v="Typhoid &amp; Severe Dehydration"/>
    <s v="Completed"/>
    <n v="31864.58"/>
    <n v="25491.66"/>
    <n v="6372.92"/>
    <s v="Pending"/>
    <n v="10"/>
    <n v="0.79999987446876741"/>
    <n v="0.20000012553123248"/>
  </r>
  <r>
    <n v="10171"/>
    <s v="PAT-1039"/>
    <s v="Rahul Saxena"/>
    <s v="Female"/>
    <n v="37"/>
    <s v="Faridabad"/>
    <s v="DOC-107"/>
    <s v="Dr. Meera Nair"/>
    <x v="1"/>
    <n v="9"/>
    <d v="2025-08-30T00:00:00"/>
    <d v="2025-09-01T00:00:00"/>
    <s v="Typhoid &amp; Severe Dehydration"/>
    <s v="Follow-up"/>
    <n v="12687.21"/>
    <n v="10276.64"/>
    <n v="2410.5700000000002"/>
    <s v="Paid"/>
    <n v="2"/>
    <n v="0.80999999211804641"/>
    <n v="0.19000000788195359"/>
  </r>
  <r>
    <n v="10172"/>
    <s v="PAT-1004"/>
    <s v="Neha Patel"/>
    <s v="Male"/>
    <n v="34"/>
    <s v="Ghaziabad"/>
    <s v="DOC-103"/>
    <s v="Dr. Sunita Kapoor"/>
    <x v="3"/>
    <n v="14"/>
    <d v="2025-11-22T00:00:00"/>
    <d v="2025-12-04T00:00:00"/>
    <s v="Acute Ischemic Stroke"/>
    <s v="Follow-up"/>
    <n v="144132.87"/>
    <n v="115306.3"/>
    <n v="28826.57"/>
    <s v="Pending"/>
    <n v="12"/>
    <n v="0.80000002775217072"/>
    <n v="0.19999997224782939"/>
  </r>
  <r>
    <n v="10173"/>
    <s v="PAT-1043"/>
    <s v="Kavya Kumar"/>
    <s v="Male"/>
    <n v="35"/>
    <s v="Pune"/>
    <s v="DOC-105"/>
    <s v="Dr. Amit Kumar"/>
    <x v="2"/>
    <n v="10"/>
    <d v="2025-01-17T00:00:00"/>
    <d v="2025-01-29T00:00:00"/>
    <s v="Cervical Spondylosis"/>
    <s v="Completed"/>
    <n v="24677.65"/>
    <n v="19495.34"/>
    <n v="5182.3100000000004"/>
    <s v="Paid"/>
    <n v="12"/>
    <n v="0.78999985817126017"/>
    <n v="0.21000014182873977"/>
  </r>
  <r>
    <n v="10174"/>
    <s v="PAT-1035"/>
    <s v="Rahul Verma"/>
    <s v="Male"/>
    <n v="27"/>
    <s v="Noida"/>
    <s v="DOC-105"/>
    <s v="Dr. Amit Kumar"/>
    <x v="2"/>
    <n v="10"/>
    <d v="2025-09-08T00:00:00"/>
    <d v="2025-09-18T00:00:00"/>
    <s v="Cervical Spondylosis"/>
    <s v="Follow-up"/>
    <n v="41400.910000000003"/>
    <n v="28152.62"/>
    <n v="13248.29"/>
    <s v="Paid"/>
    <n v="10"/>
    <n v="0.68000002898487011"/>
    <n v="0.31999997101512984"/>
  </r>
  <r>
    <n v="10175"/>
    <s v="PAT-1028"/>
    <s v="Vikram Kumar"/>
    <s v="Male"/>
    <n v="18"/>
    <s v="Delhi"/>
    <s v="DOC-105"/>
    <s v="Dr. Amit Kumar"/>
    <x v="2"/>
    <n v="10"/>
    <d v="2025-09-01T00:00:00"/>
    <d v="2025-09-04T00:00:00"/>
    <s v="Knee Replacement Surgery"/>
    <s v="Follow-up"/>
    <n v="167610.65"/>
    <n v="134088.51999999999"/>
    <n v="33522.129999999997"/>
    <s v="Pending"/>
    <n v="3"/>
    <n v="0.79999999999999993"/>
    <n v="0.19999999999999998"/>
  </r>
  <r>
    <n v="10176"/>
    <s v="PAT-1044"/>
    <s v="Pooja Singh"/>
    <s v="Male"/>
    <n v="67"/>
    <s v="Hyderabad"/>
    <s v="DOC-104"/>
    <s v="Dr. Vikramaditya Rao"/>
    <x v="3"/>
    <n v="18"/>
    <d v="2025-04-26T00:00:00"/>
    <d v="2025-05-03T00:00:00"/>
    <s v="Epilepsy Monitoring"/>
    <s v="Completed"/>
    <n v="56077"/>
    <n v="43740.06"/>
    <n v="12336.94"/>
    <s v="Paid"/>
    <n v="7"/>
    <n v="0.77999999999999992"/>
    <n v="0.22"/>
  </r>
  <r>
    <n v="10177"/>
    <s v="PAT-1004"/>
    <s v="Neha Patel"/>
    <s v="Male"/>
    <n v="34"/>
    <s v="Ghaziabad"/>
    <s v="DOC-102"/>
    <s v="Dr. Alok Verma"/>
    <x v="0"/>
    <n v="12"/>
    <d v="2025-01-26T00:00:00"/>
    <d v="2025-02-07T00:00:00"/>
    <s v="Heart Failure Management"/>
    <s v="Completed"/>
    <n v="150916.72"/>
    <n v="125260.88"/>
    <n v="25655.84"/>
    <s v="Paid"/>
    <n v="12"/>
    <n v="0.83000001590281047"/>
    <n v="0.1699999840971895"/>
  </r>
  <r>
    <n v="10178"/>
    <s v="PAT-1034"/>
    <s v="Siddharth Kumar"/>
    <s v="Male"/>
    <n v="65"/>
    <s v="Ghaziabad"/>
    <s v="DOC-101"/>
    <s v="Dr. Rajesh Khanna"/>
    <x v="0"/>
    <n v="15"/>
    <d v="2025-07-28T00:00:00"/>
    <d v="2025-07-30T00:00:00"/>
    <s v="Hypertension &amp; Arrhythmia"/>
    <s v="Follow-up"/>
    <n v="73901.289999999994"/>
    <n v="62077.08"/>
    <n v="11824.21"/>
    <s v="Pending"/>
    <n v="2"/>
    <n v="0.83999995128637139"/>
    <n v="0.16000004871362869"/>
  </r>
  <r>
    <n v="10179"/>
    <s v="PAT-1024"/>
    <s v="Rahul Nair"/>
    <s v="Female"/>
    <n v="47"/>
    <s v="Delhi"/>
    <s v="DOC-106"/>
    <s v="Dr. Neha Sharma"/>
    <x v="2"/>
    <n v="8"/>
    <d v="2025-07-13T00:00:00"/>
    <d v="2025-07-16T00:00:00"/>
    <s v="Cervical Spondylosis"/>
    <s v="Follow-up"/>
    <n v="48570.2"/>
    <n v="33999.14"/>
    <n v="14571.06"/>
    <s v="Pending"/>
    <n v="3"/>
    <n v="0.70000000000000007"/>
    <n v="0.3"/>
  </r>
  <r>
    <n v="10180"/>
    <s v="PAT-1032"/>
    <s v="Rahul Joshi"/>
    <s v="Female"/>
    <n v="19"/>
    <s v="Gurgaon"/>
    <s v="DOC-107"/>
    <s v="Dr. Meera Nair"/>
    <x v="1"/>
    <n v="9"/>
    <d v="2025-09-29T00:00:00"/>
    <d v="2025-10-03T00:00:00"/>
    <s v="Typhoid &amp; Severe Dehydration"/>
    <s v="Completed"/>
    <n v="15766.6"/>
    <n v="10405.959999999999"/>
    <n v="5360.64"/>
    <s v="Paid"/>
    <n v="4"/>
    <n v="0.66000025370086124"/>
    <n v="0.33999974629913871"/>
  </r>
  <r>
    <n v="10181"/>
    <s v="PAT-1003"/>
    <s v="Manish Mehta"/>
    <s v="Female"/>
    <n v="62"/>
    <s v="Ghaziabad"/>
    <s v="DOC-102"/>
    <s v="Dr. Alok Verma"/>
    <x v="0"/>
    <n v="12"/>
    <d v="2025-05-18T00:00:00"/>
    <d v="2025-05-20T00:00:00"/>
    <s v="Coronary Artery Disease"/>
    <s v="Completed"/>
    <n v="440107.71"/>
    <n v="356487.25"/>
    <n v="83620.460000000006"/>
    <s v="Paid"/>
    <n v="2"/>
    <n v="0.81000001113363818"/>
    <n v="0.18999998886636182"/>
  </r>
  <r>
    <n v="10182"/>
    <s v="PAT-1028"/>
    <s v="Vikram Kumar"/>
    <s v="Male"/>
    <n v="18"/>
    <s v="Delhi"/>
    <s v="DOC-101"/>
    <s v="Dr. Rajesh Khanna"/>
    <x v="0"/>
    <n v="15"/>
    <d v="2025-01-13T00:00:00"/>
    <d v="2025-01-18T00:00:00"/>
    <s v="Coronary Artery Disease"/>
    <s v="Completed"/>
    <n v="205149.22"/>
    <n v="133346.99"/>
    <n v="71802.23"/>
    <s v="Pending"/>
    <n v="5"/>
    <n v="0.64999998537649806"/>
    <n v="0.35000001462350183"/>
  </r>
  <r>
    <n v="10183"/>
    <s v="PAT-1050"/>
    <s v="Priya Mehta"/>
    <s v="Male"/>
    <n v="33"/>
    <s v="Mumbai"/>
    <s v="DOC-102"/>
    <s v="Dr. Alok Verma"/>
    <x v="0"/>
    <n v="12"/>
    <d v="2025-07-13T00:00:00"/>
    <d v="2025-07-16T00:00:00"/>
    <s v="Heart Failure Management"/>
    <s v="Completed"/>
    <n v="85631.64"/>
    <n v="68505.31"/>
    <n v="17126.330000000002"/>
    <s v="Paid"/>
    <n v="3"/>
    <n v="0.7999999766441469"/>
    <n v="0.20000002335585307"/>
  </r>
  <r>
    <n v="10184"/>
    <s v="PAT-1035"/>
    <s v="Rahul Verma"/>
    <s v="Male"/>
    <n v="27"/>
    <s v="Noida"/>
    <s v="DOC-106"/>
    <s v="Dr. Neha Sharma"/>
    <x v="2"/>
    <n v="8"/>
    <d v="2025-11-04T00:00:00"/>
    <d v="2025-11-13T00:00:00"/>
    <s v="Cervical Spondylosis"/>
    <s v="Completed"/>
    <n v="34017.22"/>
    <n v="22791.54"/>
    <n v="11225.68"/>
    <s v="Paid"/>
    <n v="9"/>
    <n v="0.67000007643187776"/>
    <n v="0.32999992356812224"/>
  </r>
  <r>
    <n v="10185"/>
    <s v="PAT-1050"/>
    <s v="Priya Mehta"/>
    <s v="Male"/>
    <n v="33"/>
    <s v="Mumbai"/>
    <s v="DOC-103"/>
    <s v="Dr. Sunita Kapoor"/>
    <x v="3"/>
    <n v="14"/>
    <d v="2025-12-17T00:00:00"/>
    <d v="2025-12-24T00:00:00"/>
    <s v="Acute Ischemic Stroke"/>
    <s v="Completed"/>
    <n v="226755.6"/>
    <n v="158728.92000000001"/>
    <n v="68026.679999999993"/>
    <s v="Pending"/>
    <n v="7"/>
    <n v="0.70000000000000007"/>
    <n v="0.3"/>
  </r>
  <r>
    <n v="10186"/>
    <s v="PAT-1043"/>
    <s v="Kavya Kumar"/>
    <s v="Male"/>
    <n v="35"/>
    <s v="Pune"/>
    <s v="DOC-103"/>
    <s v="Dr. Sunita Kapoor"/>
    <x v="3"/>
    <n v="14"/>
    <d v="2025-02-27T00:00:00"/>
    <d v="2025-03-02T00:00:00"/>
    <s v="Epilepsy Monitoring"/>
    <s v="Completed"/>
    <n v="45540.79"/>
    <n v="36432.629999999997"/>
    <n v="9108.16"/>
    <s v="Paid"/>
    <n v="3"/>
    <n v="0.79999995608332652"/>
    <n v="0.20000004391667336"/>
  </r>
  <r>
    <n v="10187"/>
    <s v="PAT-1037"/>
    <s v="Kavya Kumar"/>
    <s v="Male"/>
    <n v="61"/>
    <s v="Mumbai"/>
    <s v="DOC-101"/>
    <s v="Dr. Rajesh Khanna"/>
    <x v="0"/>
    <n v="15"/>
    <d v="2025-07-16T00:00:00"/>
    <d v="2025-07-20T00:00:00"/>
    <s v="Coronary Artery Disease"/>
    <s v="Completed"/>
    <n v="362217.46"/>
    <n v="300640.49"/>
    <n v="61576.97"/>
    <s v="Paid"/>
    <n v="4"/>
    <n v="0.82999999503060939"/>
    <n v="0.17000000496939047"/>
  </r>
  <r>
    <n v="10188"/>
    <s v="PAT-1037"/>
    <s v="Kavya Kumar"/>
    <s v="Male"/>
    <n v="61"/>
    <s v="Mumbai"/>
    <s v="DOC-107"/>
    <s v="Dr. Meera Nair"/>
    <x v="1"/>
    <n v="9"/>
    <d v="2025-11-07T00:00:00"/>
    <d v="2025-11-20T00:00:00"/>
    <s v="Typhoid &amp; Severe Dehydration"/>
    <s v="Completed"/>
    <n v="21394.55"/>
    <n v="14120.4"/>
    <n v="7274.15"/>
    <s v="Paid"/>
    <n v="13"/>
    <n v="0.65999985977737319"/>
    <n v="0.34000014022262681"/>
  </r>
  <r>
    <n v="10189"/>
    <s v="PAT-1034"/>
    <s v="Siddharth Kumar"/>
    <s v="Male"/>
    <n v="65"/>
    <s v="Ghaziabad"/>
    <s v="DOC-108"/>
    <s v="Dr. Sanjay Gupta"/>
    <x v="1"/>
    <n v="11"/>
    <d v="2025-05-04T00:00:00"/>
    <d v="2025-05-11T00:00:00"/>
    <s v="Typhoid &amp; Severe Dehydration"/>
    <s v="Completed"/>
    <n v="13264.89"/>
    <n v="9550.7199999999993"/>
    <n v="3714.17"/>
    <s v="Paid"/>
    <n v="7"/>
    <n v="0.71999993969041576"/>
    <n v="0.28000006030958419"/>
  </r>
  <r>
    <n v="10190"/>
    <s v="PAT-1024"/>
    <s v="Rahul Nair"/>
    <s v="Female"/>
    <n v="47"/>
    <s v="Delhi"/>
    <s v="DOC-102"/>
    <s v="Dr. Alok Verma"/>
    <x v="0"/>
    <n v="12"/>
    <d v="2025-09-20T00:00:00"/>
    <d v="2025-09-23T00:00:00"/>
    <s v="Heart Failure Management"/>
    <s v="Completed"/>
    <n v="189506.81"/>
    <n v="155395.57999999999"/>
    <n v="34111.230000000003"/>
    <s v="Pending"/>
    <n v="3"/>
    <n v="0.81999997783720802"/>
    <n v="0.18000002216279196"/>
  </r>
  <r>
    <n v="10191"/>
    <s v="PAT-1008"/>
    <s v="Priya Rao"/>
    <s v="Female"/>
    <n v="37"/>
    <s v="Ghaziabad"/>
    <s v="DOC-107"/>
    <s v="Dr. Meera Nair"/>
    <x v="1"/>
    <n v="9"/>
    <d v="2025-04-13T00:00:00"/>
    <d v="2025-04-18T00:00:00"/>
    <s v="Pneumonia Management"/>
    <s v="Follow-up"/>
    <n v="55766.39"/>
    <n v="46286.1"/>
    <n v="9480.2900000000009"/>
    <s v="Paid"/>
    <n v="5"/>
    <n v="0.82999993365179281"/>
    <n v="0.17000006634820725"/>
  </r>
  <r>
    <n v="10192"/>
    <s v="PAT-1032"/>
    <s v="Rahul Joshi"/>
    <s v="Female"/>
    <n v="19"/>
    <s v="Gurgaon"/>
    <s v="DOC-103"/>
    <s v="Dr. Sunita Kapoor"/>
    <x v="3"/>
    <n v="14"/>
    <d v="2025-09-03T00:00:00"/>
    <d v="2025-09-05T00:00:00"/>
    <s v="Acute Ischemic Stroke"/>
    <s v="Completed"/>
    <n v="283644.37"/>
    <n v="195714.62"/>
    <n v="87929.75"/>
    <s v="Paid"/>
    <n v="2"/>
    <n v="0.69000001657004506"/>
    <n v="0.30999998342995494"/>
  </r>
  <r>
    <n v="10193"/>
    <s v="PAT-1048"/>
    <s v="Pooja Verma"/>
    <s v="Female"/>
    <n v="39"/>
    <s v="Pune"/>
    <s v="DOC-104"/>
    <s v="Dr. Vikramaditya Rao"/>
    <x v="3"/>
    <n v="18"/>
    <d v="2025-11-25T00:00:00"/>
    <d v="2025-12-09T00:00:00"/>
    <s v="Acute Ischemic Stroke"/>
    <s v="Completed"/>
    <n v="316629.71999999997"/>
    <n v="231139.7"/>
    <n v="85490.02"/>
    <s v="Paid"/>
    <n v="14"/>
    <n v="0.73000001389635827"/>
    <n v="0.26999998610364184"/>
  </r>
  <r>
    <n v="10194"/>
    <s v="PAT-1012"/>
    <s v="Ananya Saxena"/>
    <s v="Male"/>
    <n v="40"/>
    <s v="Delhi"/>
    <s v="DOC-107"/>
    <s v="Dr. Meera Nair"/>
    <x v="1"/>
    <n v="9"/>
    <d v="2025-05-03T00:00:00"/>
    <d v="2025-05-13T00:00:00"/>
    <s v="Pneumonia Management"/>
    <s v="Completed"/>
    <n v="67097.490000000005"/>
    <n v="41600.44"/>
    <n v="25497.05"/>
    <s v="Paid"/>
    <n v="10"/>
    <n v="0.61999994336598874"/>
    <n v="0.38000005663401115"/>
  </r>
  <r>
    <n v="10195"/>
    <s v="PAT-1048"/>
    <s v="Pooja Verma"/>
    <s v="Female"/>
    <n v="39"/>
    <s v="Pune"/>
    <s v="DOC-106"/>
    <s v="Dr. Neha Sharma"/>
    <x v="2"/>
    <n v="8"/>
    <d v="2025-11-15T00:00:00"/>
    <d v="2025-11-22T00:00:00"/>
    <s v="Ligament Tear Repair"/>
    <s v="Completed"/>
    <n v="62245.99"/>
    <n v="52286.63"/>
    <n v="9959.36"/>
    <s v="Pending"/>
    <n v="7"/>
    <n v="0.83999997429553297"/>
    <n v="0.16000002570446709"/>
  </r>
  <r>
    <n v="10196"/>
    <s v="PAT-1022"/>
    <s v="Kavya Gupta"/>
    <s v="Male"/>
    <n v="27"/>
    <s v="Faridabad"/>
    <s v="DOC-106"/>
    <s v="Dr. Neha Sharma"/>
    <x v="2"/>
    <n v="8"/>
    <d v="2025-08-11T00:00:00"/>
    <d v="2025-08-16T00:00:00"/>
    <s v="Ligament Tear Repair"/>
    <s v="Completed"/>
    <n v="52986.63"/>
    <n v="32321.84"/>
    <n v="20664.79"/>
    <s v="Paid"/>
    <n v="5"/>
    <n v="0.60999991884745264"/>
    <n v="0.39000008115254736"/>
  </r>
  <r>
    <n v="10197"/>
    <s v="PAT-1021"/>
    <s v="Amit Gupta"/>
    <s v="Male"/>
    <n v="65"/>
    <s v="Pune"/>
    <s v="DOC-105"/>
    <s v="Dr. Amit Kumar"/>
    <x v="2"/>
    <n v="10"/>
    <d v="2025-03-06T00:00:00"/>
    <d v="2025-03-18T00:00:00"/>
    <s v="Knee Replacement Surgery"/>
    <s v="Completed"/>
    <n v="250276.34"/>
    <n v="152668.57"/>
    <n v="97607.77"/>
    <s v="Paid"/>
    <n v="12"/>
    <n v="0.61000001038851703"/>
    <n v="0.38999998961148308"/>
  </r>
  <r>
    <n v="10198"/>
    <s v="PAT-1027"/>
    <s v="Siddharth Verma"/>
    <s v="Female"/>
    <n v="33"/>
    <s v="Noida"/>
    <s v="DOC-103"/>
    <s v="Dr. Sunita Kapoor"/>
    <x v="3"/>
    <n v="14"/>
    <d v="2025-11-17T00:00:00"/>
    <d v="2025-11-19T00:00:00"/>
    <s v="Migraine &amp; Nerve Compression"/>
    <s v="Follow-up"/>
    <n v="34755.43"/>
    <n v="28151.9"/>
    <n v="6603.53"/>
    <s v="Paid"/>
    <n v="2"/>
    <n v="0.81000004891322019"/>
    <n v="0.18999995108677981"/>
  </r>
  <r>
    <n v="10199"/>
    <s v="PAT-1002"/>
    <s v="Amit Saxena"/>
    <s v="Male"/>
    <n v="56"/>
    <s v="Ghaziabad"/>
    <s v="DOC-101"/>
    <s v="Dr. Rajesh Khanna"/>
    <x v="0"/>
    <n v="15"/>
    <d v="2025-02-26T00:00:00"/>
    <d v="2025-03-09T00:00:00"/>
    <s v="Heart Failure Management"/>
    <s v="Completed"/>
    <n v="97877.74"/>
    <n v="80259.75"/>
    <n v="17617.990000000002"/>
    <s v="Paid"/>
    <n v="11"/>
    <n v="0.82000003269384847"/>
    <n v="0.17999996730615153"/>
  </r>
  <r>
    <n v="10200"/>
    <s v="PAT-1035"/>
    <s v="Rahul Verma"/>
    <s v="Male"/>
    <n v="27"/>
    <s v="Noida"/>
    <s v="DOC-101"/>
    <s v="Dr. Rajesh Khanna"/>
    <x v="0"/>
    <n v="15"/>
    <d v="2025-02-04T00:00:00"/>
    <d v="2025-02-10T00:00:00"/>
    <s v="Hypertension &amp; Arrhythmia"/>
    <s v="Completed"/>
    <n v="44607.14"/>
    <n v="26764.28"/>
    <n v="17842.86"/>
    <s v="Paid"/>
    <n v="6"/>
    <n v="0.59999991032825684"/>
    <n v="0.40000008967174316"/>
  </r>
  <r>
    <n v="10201"/>
    <s v="PAT-1044"/>
    <s v="Pooja Singh"/>
    <s v="Male"/>
    <n v="67"/>
    <s v="Hyderabad"/>
    <s v="DOC-107"/>
    <s v="Dr. Meera Nair"/>
    <x v="1"/>
    <n v="9"/>
    <d v="2025-07-26T00:00:00"/>
    <d v="2025-08-02T00:00:00"/>
    <s v="Typhoid &amp; Severe Dehydration"/>
    <s v="Follow-up"/>
    <n v="15088.31"/>
    <n v="10561.82"/>
    <n v="4526.49"/>
    <s v="Paid"/>
    <n v="7"/>
    <n v="0.70000019882942488"/>
    <n v="0.29999980117057512"/>
  </r>
  <r>
    <n v="10202"/>
    <s v="PAT-1002"/>
    <s v="Amit Saxena"/>
    <s v="Male"/>
    <n v="56"/>
    <s v="Ghaziabad"/>
    <s v="DOC-105"/>
    <s v="Dr. Amit Kumar"/>
    <x v="2"/>
    <n v="10"/>
    <d v="2025-01-25T00:00:00"/>
    <d v="2025-01-30T00:00:00"/>
    <s v="Cervical Spondylosis"/>
    <s v="Follow-up"/>
    <n v="43381.84"/>
    <n v="35573.11"/>
    <n v="7808.73"/>
    <s v="Pending"/>
    <n v="5"/>
    <n v="0.82000002766134406"/>
    <n v="0.179999972338656"/>
  </r>
  <r>
    <n v="10203"/>
    <s v="PAT-1017"/>
    <s v="Ritu Saxena"/>
    <s v="Female"/>
    <n v="73"/>
    <s v="Gurgaon"/>
    <s v="DOC-103"/>
    <s v="Dr. Sunita Kapoor"/>
    <x v="3"/>
    <n v="14"/>
    <d v="2025-05-24T00:00:00"/>
    <d v="2025-05-28T00:00:00"/>
    <s v="Acute Ischemic Stroke"/>
    <s v="Completed"/>
    <n v="150904.84"/>
    <n v="92051.95"/>
    <n v="58852.89"/>
    <s v="Pending"/>
    <n v="4"/>
    <n v="0.60999998409593759"/>
    <n v="0.39000001590406247"/>
  </r>
  <r>
    <n v="10204"/>
    <s v="PAT-1045"/>
    <s v="Sneha Sharma"/>
    <s v="Male"/>
    <n v="44"/>
    <s v="Hyderabad"/>
    <s v="DOC-107"/>
    <s v="Dr. Meera Nair"/>
    <x v="1"/>
    <n v="9"/>
    <d v="2025-11-20T00:00:00"/>
    <d v="2025-12-03T00:00:00"/>
    <s v="Pneumonia Management"/>
    <s v="Follow-up"/>
    <n v="63279.34"/>
    <n v="51889.06"/>
    <n v="11390.28"/>
    <s v="Paid"/>
    <n v="13"/>
    <n v="0.82000001896353536"/>
    <n v="0.1799999810364647"/>
  </r>
  <r>
    <n v="10205"/>
    <s v="PAT-1039"/>
    <s v="Rahul Saxena"/>
    <s v="Female"/>
    <n v="37"/>
    <s v="Faridabad"/>
    <s v="DOC-103"/>
    <s v="Dr. Sunita Kapoor"/>
    <x v="3"/>
    <n v="14"/>
    <d v="2025-02-01T00:00:00"/>
    <d v="2025-02-03T00:00:00"/>
    <s v="Migraine &amp; Nerve Compression"/>
    <s v="Completed"/>
    <n v="18007.939999999999"/>
    <n v="12065.32"/>
    <n v="5942.62"/>
    <s v="Pending"/>
    <n v="2"/>
    <n v="0.6700000111062121"/>
    <n v="0.32999998889378795"/>
  </r>
  <r>
    <n v="10206"/>
    <s v="PAT-1049"/>
    <s v="Pooja Verma"/>
    <s v="Male"/>
    <n v="48"/>
    <s v="Bangalore"/>
    <s v="DOC-104"/>
    <s v="Dr. Vikramaditya Rao"/>
    <x v="3"/>
    <n v="18"/>
    <d v="2025-03-06T00:00:00"/>
    <d v="2025-03-18T00:00:00"/>
    <s v="Acute Ischemic Stroke"/>
    <s v="Completed"/>
    <n v="147796.69"/>
    <n v="109369.55"/>
    <n v="38427.14"/>
    <s v="Pending"/>
    <n v="12"/>
    <n v="0.73999999594036914"/>
    <n v="0.26000000405963081"/>
  </r>
  <r>
    <n v="10207"/>
    <s v="PAT-1024"/>
    <s v="Rahul Nair"/>
    <s v="Female"/>
    <n v="47"/>
    <s v="Delhi"/>
    <s v="DOC-101"/>
    <s v="Dr. Rajesh Khanna"/>
    <x v="0"/>
    <n v="15"/>
    <d v="2025-08-31T00:00:00"/>
    <d v="2025-09-04T00:00:00"/>
    <s v="Coronary Artery Disease"/>
    <s v="Completed"/>
    <n v="210250.76"/>
    <n v="163995.59"/>
    <n v="46255.17"/>
    <s v="Paid"/>
    <n v="4"/>
    <n v="0.77999998668256887"/>
    <n v="0.22000001331743105"/>
  </r>
  <r>
    <n v="10208"/>
    <s v="PAT-1024"/>
    <s v="Rahul Nair"/>
    <s v="Female"/>
    <n v="47"/>
    <s v="Delhi"/>
    <s v="DOC-107"/>
    <s v="Dr. Meera Nair"/>
    <x v="1"/>
    <n v="9"/>
    <d v="2025-02-13T00:00:00"/>
    <d v="2025-02-19T00:00:00"/>
    <s v="Acute Viral Fever &amp; Infection"/>
    <s v="Follow-up"/>
    <n v="10521.3"/>
    <n v="7049.27"/>
    <n v="3472.03"/>
    <s v="Paid"/>
    <n v="6"/>
    <n v="0.66999990495471096"/>
    <n v="0.3300000950452891"/>
  </r>
  <r>
    <n v="10209"/>
    <s v="PAT-1006"/>
    <s v="Neha Singh"/>
    <s v="Female"/>
    <n v="68"/>
    <s v="Mumbai"/>
    <s v="DOC-101"/>
    <s v="Dr. Rajesh Khanna"/>
    <x v="0"/>
    <n v="15"/>
    <d v="2025-10-26T00:00:00"/>
    <d v="2025-10-30T00:00:00"/>
    <s v="Hypertension &amp; Arrhythmia"/>
    <s v="Completed"/>
    <n v="45729.21"/>
    <n v="37497.949999999997"/>
    <n v="8231.26"/>
    <s v="Paid"/>
    <n v="4"/>
    <n v="0.81999995189070618"/>
    <n v="0.18000004810929382"/>
  </r>
  <r>
    <n v="10210"/>
    <s v="PAT-1024"/>
    <s v="Rahul Nair"/>
    <s v="Female"/>
    <n v="47"/>
    <s v="Delhi"/>
    <s v="DOC-106"/>
    <s v="Dr. Neha Sharma"/>
    <x v="2"/>
    <n v="8"/>
    <d v="2025-11-20T00:00:00"/>
    <d v="2025-11-29T00:00:00"/>
    <s v="Knee Replacement Surgery"/>
    <s v="Completed"/>
    <n v="243463.94"/>
    <n v="153382.28"/>
    <n v="90081.66"/>
    <s v="Paid"/>
    <n v="9"/>
    <n v="0.62999999096375425"/>
    <n v="0.3700000090362458"/>
  </r>
  <r>
    <n v="10211"/>
    <s v="PAT-1019"/>
    <s v="Aarav Kapoor"/>
    <s v="Female"/>
    <n v="52"/>
    <s v="Hyderabad"/>
    <s v="DOC-106"/>
    <s v="Dr. Neha Sharma"/>
    <x v="2"/>
    <n v="8"/>
    <d v="2025-01-11T00:00:00"/>
    <d v="2025-01-18T00:00:00"/>
    <s v="Ligament Tear Repair"/>
    <s v="Completed"/>
    <n v="91170.46"/>
    <n v="55613.98"/>
    <n v="35556.480000000003"/>
    <s v="Paid"/>
    <n v="7"/>
    <n v="0.60999999341892097"/>
    <n v="0.39000000658107903"/>
  </r>
  <r>
    <n v="10212"/>
    <s v="PAT-1025"/>
    <s v="Ananya Mehta"/>
    <s v="Female"/>
    <n v="23"/>
    <s v="Faridabad"/>
    <s v="DOC-106"/>
    <s v="Dr. Neha Sharma"/>
    <x v="2"/>
    <n v="8"/>
    <d v="2025-04-14T00:00:00"/>
    <d v="2025-04-16T00:00:00"/>
    <s v="Cervical Spondylosis"/>
    <s v="Completed"/>
    <n v="57266.13"/>
    <n v="41804.269999999997"/>
    <n v="15461.86"/>
    <s v="Paid"/>
    <n v="2"/>
    <n v="0.72999991443458812"/>
    <n v="0.27000008556541188"/>
  </r>
  <r>
    <n v="10213"/>
    <s v="PAT-1017"/>
    <s v="Ritu Saxena"/>
    <s v="Female"/>
    <n v="73"/>
    <s v="Gurgaon"/>
    <s v="DOC-102"/>
    <s v="Dr. Alok Verma"/>
    <x v="0"/>
    <n v="12"/>
    <d v="2025-07-25T00:00:00"/>
    <d v="2025-08-03T00:00:00"/>
    <s v="Heart Failure Management"/>
    <s v="Completed"/>
    <n v="94744.5"/>
    <n v="70110.929999999993"/>
    <n v="24633.57"/>
    <s v="Paid"/>
    <n v="9"/>
    <n v="0.73999999999999988"/>
    <n v="0.26"/>
  </r>
  <r>
    <n v="10214"/>
    <s v="PAT-1020"/>
    <s v="Ritu Verma"/>
    <s v="Female"/>
    <n v="68"/>
    <s v="Gurgaon"/>
    <s v="DOC-105"/>
    <s v="Dr. Amit Kumar"/>
    <x v="2"/>
    <n v="10"/>
    <d v="2025-02-01T00:00:00"/>
    <d v="2025-02-14T00:00:00"/>
    <s v="Cervical Spondylosis"/>
    <s v="Follow-up"/>
    <n v="41912.949999999997"/>
    <n v="33111.230000000003"/>
    <n v="8801.7199999999993"/>
    <s v="Paid"/>
    <n v="13"/>
    <n v="0.78999998807051297"/>
    <n v="0.2100000119294872"/>
  </r>
  <r>
    <n v="10215"/>
    <s v="PAT-1029"/>
    <s v="Amit Rao"/>
    <s v="Female"/>
    <n v="59"/>
    <s v="Jaipur"/>
    <s v="DOC-101"/>
    <s v="Dr. Rajesh Khanna"/>
    <x v="0"/>
    <n v="15"/>
    <d v="2025-04-05T00:00:00"/>
    <d v="2025-04-16T00:00:00"/>
    <s v="Hypertension &amp; Arrhythmia"/>
    <s v="Completed"/>
    <n v="40414.51"/>
    <n v="30310.880000000001"/>
    <n v="10103.629999999999"/>
    <s v="Paid"/>
    <n v="11"/>
    <n v="0.74999993814102905"/>
    <n v="0.25000006185897089"/>
  </r>
  <r>
    <n v="10216"/>
    <s v="PAT-1037"/>
    <s v="Kavya Kumar"/>
    <s v="Male"/>
    <n v="61"/>
    <s v="Mumbai"/>
    <s v="DOC-105"/>
    <s v="Dr. Amit Kumar"/>
    <x v="2"/>
    <n v="10"/>
    <d v="2025-05-21T00:00:00"/>
    <d v="2025-05-23T00:00:00"/>
    <s v="Ligament Tear Repair"/>
    <s v="Completed"/>
    <n v="109259.25"/>
    <n v="75388.88"/>
    <n v="33870.370000000003"/>
    <s v="Paid"/>
    <n v="2"/>
    <n v="0.68999997711864214"/>
    <n v="0.31000002288135792"/>
  </r>
  <r>
    <n v="10217"/>
    <s v="PAT-1019"/>
    <s v="Aarav Kapoor"/>
    <s v="Female"/>
    <n v="52"/>
    <s v="Hyderabad"/>
    <s v="DOC-103"/>
    <s v="Dr. Sunita Kapoor"/>
    <x v="3"/>
    <n v="14"/>
    <d v="2025-08-12T00:00:00"/>
    <d v="2025-08-23T00:00:00"/>
    <s v="Migraine &amp; Nerve Compression"/>
    <s v="Follow-up"/>
    <n v="31818.45"/>
    <n v="21318.36"/>
    <n v="10500.09"/>
    <s v="Paid"/>
    <n v="11"/>
    <n v="0.66999995285754022"/>
    <n v="0.33000004714245978"/>
  </r>
  <r>
    <n v="10218"/>
    <s v="PAT-1013"/>
    <s v="Neha Nair"/>
    <s v="Female"/>
    <n v="18"/>
    <s v="Faridabad"/>
    <s v="DOC-104"/>
    <s v="Dr. Vikramaditya Rao"/>
    <x v="3"/>
    <n v="18"/>
    <d v="2025-11-09T00:00:00"/>
    <d v="2025-11-13T00:00:00"/>
    <s v="Migraine &amp; Nerve Compression"/>
    <s v="Completed"/>
    <n v="41424.78"/>
    <n v="32311.33"/>
    <n v="9113.4500000000007"/>
    <s v="Paid"/>
    <n v="4"/>
    <n v="0.78000003862422451"/>
    <n v="0.2199999613757756"/>
  </r>
  <r>
    <n v="10219"/>
    <s v="PAT-1040"/>
    <s v="Pooja Mehta"/>
    <s v="Male"/>
    <n v="74"/>
    <s v="Bangalore"/>
    <s v="DOC-107"/>
    <s v="Dr. Meera Nair"/>
    <x v="1"/>
    <n v="9"/>
    <d v="2025-03-13T00:00:00"/>
    <d v="2025-03-25T00:00:00"/>
    <s v="Typhoid &amp; Severe Dehydration"/>
    <s v="Completed"/>
    <n v="18192.37"/>
    <n v="14917.74"/>
    <n v="3274.63"/>
    <s v="Pending"/>
    <n v="12"/>
    <n v="0.81999981310846248"/>
    <n v="0.18000018689153752"/>
  </r>
  <r>
    <n v="10220"/>
    <s v="PAT-1049"/>
    <s v="Pooja Verma"/>
    <s v="Male"/>
    <n v="48"/>
    <s v="Bangalore"/>
    <s v="DOC-105"/>
    <s v="Dr. Amit Kumar"/>
    <x v="2"/>
    <n v="10"/>
    <d v="2025-06-01T00:00:00"/>
    <d v="2025-06-09T00:00:00"/>
    <s v="Cervical Spondylosis"/>
    <s v="Completed"/>
    <n v="64283.6"/>
    <n v="43070.01"/>
    <n v="21213.59"/>
    <s v="Paid"/>
    <n v="8"/>
    <n v="0.66999996888786573"/>
    <n v="0.33000003111213438"/>
  </r>
  <r>
    <n v="10221"/>
    <s v="PAT-1042"/>
    <s v="Ananya Sharma"/>
    <s v="Female"/>
    <n v="65"/>
    <s v="Hyderabad"/>
    <s v="DOC-107"/>
    <s v="Dr. Meera Nair"/>
    <x v="1"/>
    <n v="9"/>
    <d v="2025-03-24T00:00:00"/>
    <d v="2025-04-06T00:00:00"/>
    <s v="Typhoid &amp; Severe Dehydration"/>
    <s v="Completed"/>
    <n v="21098.15"/>
    <n v="14768.7"/>
    <n v="6329.45"/>
    <s v="Pending"/>
    <n v="13"/>
    <n v="0.69999976301239686"/>
    <n v="0.30000023698760314"/>
  </r>
  <r>
    <n v="10222"/>
    <s v="PAT-1041"/>
    <s v="Ananya Patel"/>
    <s v="Female"/>
    <n v="66"/>
    <s v="Delhi"/>
    <s v="DOC-105"/>
    <s v="Dr. Amit Kumar"/>
    <x v="2"/>
    <n v="10"/>
    <d v="2025-05-20T00:00:00"/>
    <d v="2025-05-31T00:00:00"/>
    <s v="Cervical Spondylosis"/>
    <s v="Completed"/>
    <n v="53060.92"/>
    <n v="43509.95"/>
    <n v="9550.9699999999993"/>
    <s v="Pending"/>
    <n v="11"/>
    <n v="0.81999991707644715"/>
    <n v="0.18000008292355277"/>
  </r>
  <r>
    <n v="10223"/>
    <s v="PAT-1040"/>
    <s v="Pooja Mehta"/>
    <s v="Male"/>
    <n v="74"/>
    <s v="Bangalore"/>
    <s v="DOC-103"/>
    <s v="Dr. Sunita Kapoor"/>
    <x v="3"/>
    <n v="14"/>
    <d v="2025-06-21T00:00:00"/>
    <d v="2025-06-28T00:00:00"/>
    <s v="Migraine &amp; Nerve Compression"/>
    <s v="Completed"/>
    <n v="42426.33"/>
    <n v="33092.54"/>
    <n v="9333.7900000000009"/>
    <s v="Pending"/>
    <n v="7"/>
    <n v="0.78000006128269872"/>
    <n v="0.21999993871730128"/>
  </r>
  <r>
    <n v="10224"/>
    <s v="PAT-1006"/>
    <s v="Neha Singh"/>
    <s v="Female"/>
    <n v="68"/>
    <s v="Mumbai"/>
    <s v="DOC-101"/>
    <s v="Dr. Rajesh Khanna"/>
    <x v="0"/>
    <n v="15"/>
    <d v="2025-07-15T00:00:00"/>
    <d v="2025-07-28T00:00:00"/>
    <s v="Heart Failure Management"/>
    <s v="Follow-up"/>
    <n v="131821.29999999999"/>
    <n v="89638.48"/>
    <n v="42182.82"/>
    <s v="Paid"/>
    <n v="13"/>
    <n v="0.67999996965589027"/>
    <n v="0.32000003034410984"/>
  </r>
  <r>
    <n v="10225"/>
    <s v="PAT-1047"/>
    <s v="Aarav Nair"/>
    <s v="Female"/>
    <n v="56"/>
    <s v="Noida"/>
    <s v="DOC-101"/>
    <s v="Dr. Rajesh Khanna"/>
    <x v="0"/>
    <n v="15"/>
    <d v="2025-10-23T00:00:00"/>
    <d v="2025-11-02T00:00:00"/>
    <s v="Heart Failure Management"/>
    <s v="Follow-up"/>
    <n v="133134"/>
    <n v="103844.52"/>
    <n v="29289.48"/>
    <s v="Paid"/>
    <n v="10"/>
    <n v="0.78"/>
    <n v="0.22"/>
  </r>
  <r>
    <n v="10226"/>
    <s v="PAT-1041"/>
    <s v="Ananya Patel"/>
    <s v="Female"/>
    <n v="66"/>
    <s v="Delhi"/>
    <s v="DOC-103"/>
    <s v="Dr. Sunita Kapoor"/>
    <x v="3"/>
    <n v="14"/>
    <d v="2025-08-20T00:00:00"/>
    <d v="2025-08-27T00:00:00"/>
    <s v="Acute Ischemic Stroke"/>
    <s v="Follow-up"/>
    <n v="299663.53999999998"/>
    <n v="242727.47"/>
    <n v="56936.07"/>
    <s v="Paid"/>
    <n v="7"/>
    <n v="0.81000000867639754"/>
    <n v="0.18999999132360249"/>
  </r>
  <r>
    <n v="10227"/>
    <s v="PAT-1042"/>
    <s v="Ananya Sharma"/>
    <s v="Female"/>
    <n v="65"/>
    <s v="Hyderabad"/>
    <s v="DOC-104"/>
    <s v="Dr. Vikramaditya Rao"/>
    <x v="3"/>
    <n v="18"/>
    <d v="2025-08-16T00:00:00"/>
    <d v="2025-08-28T00:00:00"/>
    <s v="Migraine &amp; Nerve Compression"/>
    <s v="Completed"/>
    <n v="30715.67"/>
    <n v="19965.189999999999"/>
    <n v="10750.48"/>
    <s v="Paid"/>
    <n v="12"/>
    <n v="0.65000014650502491"/>
    <n v="0.34999985349497503"/>
  </r>
  <r>
    <n v="10228"/>
    <s v="PAT-1036"/>
    <s v="Rohan Joshi"/>
    <s v="Male"/>
    <n v="41"/>
    <s v="Delhi"/>
    <s v="DOC-107"/>
    <s v="Dr. Meera Nair"/>
    <x v="1"/>
    <n v="9"/>
    <d v="2025-06-10T00:00:00"/>
    <d v="2025-06-14T00:00:00"/>
    <s v="Pneumonia Management"/>
    <s v="Completed"/>
    <n v="66268.25"/>
    <n v="43737.05"/>
    <n v="22531.200000000001"/>
    <s v="Paid"/>
    <n v="4"/>
    <n v="0.66000007545091355"/>
    <n v="0.33999992454908651"/>
  </r>
  <r>
    <n v="10229"/>
    <s v="PAT-1003"/>
    <s v="Manish Mehta"/>
    <s v="Female"/>
    <n v="62"/>
    <s v="Ghaziabad"/>
    <s v="DOC-101"/>
    <s v="Dr. Rajesh Khanna"/>
    <x v="0"/>
    <n v="15"/>
    <d v="2025-05-03T00:00:00"/>
    <d v="2025-05-17T00:00:00"/>
    <s v="Coronary Artery Disease"/>
    <s v="Completed"/>
    <n v="124917.43"/>
    <n v="88691.38"/>
    <n v="36226.050000000003"/>
    <s v="Paid"/>
    <n v="14"/>
    <n v="0.71000003762485353"/>
    <n v="0.28999996237514658"/>
  </r>
  <r>
    <n v="10230"/>
    <s v="PAT-1010"/>
    <s v="Siddharth Rao"/>
    <s v="Male"/>
    <n v="45"/>
    <s v="Noida"/>
    <s v="DOC-102"/>
    <s v="Dr. Alok Verma"/>
    <x v="0"/>
    <n v="12"/>
    <d v="2025-08-31T00:00:00"/>
    <d v="2025-09-09T00:00:00"/>
    <s v="Coronary Artery Disease"/>
    <s v="Completed"/>
    <n v="176327.88"/>
    <n v="118139.68"/>
    <n v="58188.2"/>
    <s v="Pending"/>
    <n v="9"/>
    <n v="0.67000000226850109"/>
    <n v="0.3299999977314988"/>
  </r>
  <r>
    <n v="10231"/>
    <s v="PAT-1015"/>
    <s v="Vikram Verma"/>
    <s v="Male"/>
    <n v="43"/>
    <s v="Mumbai"/>
    <s v="DOC-105"/>
    <s v="Dr. Amit Kumar"/>
    <x v="2"/>
    <n v="10"/>
    <d v="2025-10-19T00:00:00"/>
    <d v="2025-10-21T00:00:00"/>
    <s v="Cervical Spondylosis"/>
    <s v="Completed"/>
    <n v="60097.98"/>
    <n v="49881.32"/>
    <n v="10216.66"/>
    <s v="Pending"/>
    <n v="2"/>
    <n v="0.82999994342571903"/>
    <n v="0.17000005657428086"/>
  </r>
  <r>
    <n v="10232"/>
    <s v="PAT-1004"/>
    <s v="Neha Patel"/>
    <s v="Male"/>
    <n v="34"/>
    <s v="Ghaziabad"/>
    <s v="DOC-104"/>
    <s v="Dr. Vikramaditya Rao"/>
    <x v="3"/>
    <n v="18"/>
    <d v="2025-06-14T00:00:00"/>
    <d v="2025-06-17T00:00:00"/>
    <s v="Migraine &amp; Nerve Compression"/>
    <s v="Follow-up"/>
    <n v="27508.05"/>
    <n v="18430.39"/>
    <n v="9077.66"/>
    <s v="Pending"/>
    <n v="3"/>
    <n v="0.669999872764518"/>
    <n v="0.330000127235482"/>
  </r>
  <r>
    <n v="10233"/>
    <s v="PAT-1048"/>
    <s v="Pooja Verma"/>
    <s v="Female"/>
    <n v="39"/>
    <s v="Pune"/>
    <s v="DOC-101"/>
    <s v="Dr. Rajesh Khanna"/>
    <x v="0"/>
    <n v="15"/>
    <d v="2025-11-29T00:00:00"/>
    <d v="2025-12-07T00:00:00"/>
    <s v="Hypertension &amp; Arrhythmia"/>
    <s v="Completed"/>
    <n v="77562.78"/>
    <n v="63601.48"/>
    <n v="13961.3"/>
    <s v="Paid"/>
    <n v="8"/>
    <n v="0.8200000051571128"/>
    <n v="0.17999999484288726"/>
  </r>
  <r>
    <n v="10234"/>
    <s v="PAT-1011"/>
    <s v="Siddharth Nair"/>
    <s v="Female"/>
    <n v="18"/>
    <s v="Hyderabad"/>
    <s v="DOC-105"/>
    <s v="Dr. Amit Kumar"/>
    <x v="2"/>
    <n v="10"/>
    <d v="2025-02-01T00:00:00"/>
    <d v="2025-02-15T00:00:00"/>
    <s v="Knee Replacement Surgery"/>
    <s v="Completed"/>
    <n v="221484.17"/>
    <n v="186046.7"/>
    <n v="35437.47"/>
    <s v="Paid"/>
    <n v="14"/>
    <n v="0.83999998735801296"/>
    <n v="0.16000001264198702"/>
  </r>
  <r>
    <n v="10235"/>
    <s v="PAT-1039"/>
    <s v="Rahul Saxena"/>
    <s v="Female"/>
    <n v="37"/>
    <s v="Faridabad"/>
    <s v="DOC-107"/>
    <s v="Dr. Meera Nair"/>
    <x v="1"/>
    <n v="9"/>
    <d v="2025-06-27T00:00:00"/>
    <d v="2025-07-05T00:00:00"/>
    <s v="Acute Viral Fever &amp; Infection"/>
    <s v="Completed"/>
    <n v="18314.78"/>
    <n v="12820.35"/>
    <n v="5494.43"/>
    <s v="Paid"/>
    <n v="8"/>
    <n v="0.70000021840284188"/>
    <n v="0.29999978159715818"/>
  </r>
  <r>
    <n v="10236"/>
    <s v="PAT-1040"/>
    <s v="Pooja Mehta"/>
    <s v="Male"/>
    <n v="74"/>
    <s v="Bangalore"/>
    <s v="DOC-102"/>
    <s v="Dr. Alok Verma"/>
    <x v="0"/>
    <n v="12"/>
    <d v="2025-09-11T00:00:00"/>
    <d v="2025-09-17T00:00:00"/>
    <s v="Heart Failure Management"/>
    <s v="Completed"/>
    <n v="126700.94"/>
    <n v="77287.570000000007"/>
    <n v="49413.37"/>
    <s v="Paid"/>
    <n v="6"/>
    <n v="0.60999997316515575"/>
    <n v="0.39000002683484436"/>
  </r>
  <r>
    <n v="10237"/>
    <s v="PAT-1035"/>
    <s v="Rahul Verma"/>
    <s v="Male"/>
    <n v="27"/>
    <s v="Noida"/>
    <s v="DOC-106"/>
    <s v="Dr. Neha Sharma"/>
    <x v="2"/>
    <n v="8"/>
    <d v="2025-06-27T00:00:00"/>
    <d v="2025-07-09T00:00:00"/>
    <s v="Cervical Spondylosis"/>
    <s v="Completed"/>
    <n v="44365.82"/>
    <n v="32830.71"/>
    <n v="11535.11"/>
    <s v="Pending"/>
    <n v="12"/>
    <n v="0.74000007212759733"/>
    <n v="0.25999992787240267"/>
  </r>
  <r>
    <n v="10238"/>
    <s v="PAT-1024"/>
    <s v="Rahul Nair"/>
    <s v="Female"/>
    <n v="47"/>
    <s v="Delhi"/>
    <s v="DOC-103"/>
    <s v="Dr. Sunita Kapoor"/>
    <x v="3"/>
    <n v="14"/>
    <d v="2025-06-01T00:00:00"/>
    <d v="2025-06-14T00:00:00"/>
    <s v="Acute Ischemic Stroke"/>
    <s v="Follow-up"/>
    <n v="94452.43"/>
    <n v="70839.320000000007"/>
    <n v="23613.11"/>
    <s v="Pending"/>
    <n v="13"/>
    <n v="0.74999997353164982"/>
    <n v="0.25000002646835029"/>
  </r>
  <r>
    <n v="10239"/>
    <s v="PAT-1044"/>
    <s v="Pooja Singh"/>
    <s v="Male"/>
    <n v="67"/>
    <s v="Hyderabad"/>
    <s v="DOC-107"/>
    <s v="Dr. Meera Nair"/>
    <x v="1"/>
    <n v="9"/>
    <d v="2025-07-29T00:00:00"/>
    <d v="2025-08-05T00:00:00"/>
    <s v="Typhoid &amp; Severe Dehydration"/>
    <s v="Follow-up"/>
    <n v="25064.19"/>
    <n v="20803.28"/>
    <n v="4260.91"/>
    <s v="Pending"/>
    <n v="7"/>
    <n v="0.83000009176438572"/>
    <n v="0.16999990823561423"/>
  </r>
  <r>
    <n v="10240"/>
    <s v="PAT-1012"/>
    <s v="Ananya Saxena"/>
    <s v="Male"/>
    <n v="40"/>
    <s v="Delhi"/>
    <s v="DOC-106"/>
    <s v="Dr. Neha Sharma"/>
    <x v="2"/>
    <n v="8"/>
    <d v="2025-04-07T00:00:00"/>
    <d v="2025-04-20T00:00:00"/>
    <s v="Cervical Spondylosis"/>
    <s v="Completed"/>
    <n v="37375.07"/>
    <n v="24667.55"/>
    <n v="12707.52"/>
    <s v="Paid"/>
    <n v="13"/>
    <n v="0.66000010167205037"/>
    <n v="0.33999989832794963"/>
  </r>
  <r>
    <n v="10241"/>
    <s v="PAT-1025"/>
    <s v="Ananya Mehta"/>
    <s v="Female"/>
    <n v="23"/>
    <s v="Faridabad"/>
    <s v="DOC-105"/>
    <s v="Dr. Amit Kumar"/>
    <x v="2"/>
    <n v="10"/>
    <d v="2025-06-08T00:00:00"/>
    <d v="2025-06-20T00:00:00"/>
    <s v="Ligament Tear Repair"/>
    <s v="Completed"/>
    <n v="99034.02"/>
    <n v="66352.789999999994"/>
    <n v="32681.23"/>
    <s v="Paid"/>
    <n v="12"/>
    <n v="0.66999996566836317"/>
    <n v="0.33000003433163672"/>
  </r>
  <r>
    <n v="10242"/>
    <s v="PAT-1039"/>
    <s v="Rahul Saxena"/>
    <s v="Female"/>
    <n v="37"/>
    <s v="Faridabad"/>
    <s v="DOC-105"/>
    <s v="Dr. Amit Kumar"/>
    <x v="2"/>
    <n v="10"/>
    <d v="2025-10-12T00:00:00"/>
    <d v="2025-10-21T00:00:00"/>
    <s v="Knee Replacement Surgery"/>
    <s v="Completed"/>
    <n v="371898.75"/>
    <n v="230577.23"/>
    <n v="141321.51999999999"/>
    <s v="Paid"/>
    <n v="9"/>
    <n v="0.62000001344451949"/>
    <n v="0.37999998655548045"/>
  </r>
  <r>
    <n v="10243"/>
    <s v="PAT-1047"/>
    <s v="Aarav Nair"/>
    <s v="Female"/>
    <n v="56"/>
    <s v="Noida"/>
    <s v="DOC-104"/>
    <s v="Dr. Vikramaditya Rao"/>
    <x v="3"/>
    <n v="18"/>
    <d v="2025-10-14T00:00:00"/>
    <d v="2025-10-25T00:00:00"/>
    <s v="Epilepsy Monitoring"/>
    <s v="Completed"/>
    <n v="65351.39"/>
    <n v="52281.11"/>
    <n v="13070.28"/>
    <s v="Paid"/>
    <n v="11"/>
    <n v="0.79999996939621332"/>
    <n v="0.20000003060378671"/>
  </r>
  <r>
    <n v="10244"/>
    <s v="PAT-1037"/>
    <s v="Kavya Kumar"/>
    <s v="Male"/>
    <n v="61"/>
    <s v="Mumbai"/>
    <s v="DOC-103"/>
    <s v="Dr. Sunita Kapoor"/>
    <x v="3"/>
    <n v="14"/>
    <d v="2025-05-06T00:00:00"/>
    <d v="2025-05-15T00:00:00"/>
    <s v="Migraine &amp; Nerve Compression"/>
    <s v="Follow-up"/>
    <n v="42966.48"/>
    <n v="30935.87"/>
    <n v="12030.61"/>
    <s v="Paid"/>
    <n v="9"/>
    <n v="0.7200001024054099"/>
    <n v="0.27999989759458999"/>
  </r>
  <r>
    <n v="10245"/>
    <s v="PAT-1044"/>
    <s v="Pooja Singh"/>
    <s v="Male"/>
    <n v="67"/>
    <s v="Hyderabad"/>
    <s v="DOC-103"/>
    <s v="Dr. Sunita Kapoor"/>
    <x v="3"/>
    <n v="14"/>
    <d v="2025-11-16T00:00:00"/>
    <d v="2025-11-26T00:00:00"/>
    <s v="Epilepsy Monitoring"/>
    <s v="Follow-up"/>
    <n v="62492.11"/>
    <n v="40619.870000000003"/>
    <n v="21872.240000000002"/>
    <s v="Paid"/>
    <n v="10"/>
    <n v="0.6499999759969699"/>
    <n v="0.35000002400303015"/>
  </r>
  <r>
    <n v="10246"/>
    <s v="PAT-1010"/>
    <s v="Siddharth Rao"/>
    <s v="Male"/>
    <n v="45"/>
    <s v="Noida"/>
    <s v="DOC-107"/>
    <s v="Dr. Meera Nair"/>
    <x v="1"/>
    <n v="9"/>
    <d v="2025-09-28T00:00:00"/>
    <d v="2025-10-05T00:00:00"/>
    <s v="Typhoid &amp; Severe Dehydration"/>
    <s v="Completed"/>
    <n v="16884.740000000002"/>
    <n v="14014.33"/>
    <n v="2870.41"/>
    <s v="Paid"/>
    <n v="7"/>
    <n v="0.82999975125468317"/>
    <n v="0.17000024874531675"/>
  </r>
  <r>
    <n v="10247"/>
    <s v="PAT-1049"/>
    <s v="Pooja Verma"/>
    <s v="Male"/>
    <n v="48"/>
    <s v="Bangalore"/>
    <s v="DOC-103"/>
    <s v="Dr. Sunita Kapoor"/>
    <x v="3"/>
    <n v="14"/>
    <d v="2025-12-16T00:00:00"/>
    <d v="2025-12-24T00:00:00"/>
    <s v="Epilepsy Monitoring"/>
    <s v="Follow-up"/>
    <n v="81525.679999999993"/>
    <n v="56252.72"/>
    <n v="25272.959999999999"/>
    <s v="Pending"/>
    <n v="8"/>
    <n v="0.69000000981285903"/>
    <n v="0.30999999018714103"/>
  </r>
  <r>
    <n v="10248"/>
    <s v="PAT-1004"/>
    <s v="Neha Patel"/>
    <s v="Male"/>
    <n v="34"/>
    <s v="Ghaziabad"/>
    <s v="DOC-104"/>
    <s v="Dr. Vikramaditya Rao"/>
    <x v="3"/>
    <n v="18"/>
    <d v="2025-03-04T00:00:00"/>
    <d v="2025-03-15T00:00:00"/>
    <s v="Migraine &amp; Nerve Compression"/>
    <s v="Follow-up"/>
    <n v="41273.26"/>
    <n v="25589.42"/>
    <n v="15683.84"/>
    <s v="Paid"/>
    <n v="11"/>
    <n v="0.61999997092548531"/>
    <n v="0.38000002907451458"/>
  </r>
  <r>
    <n v="10249"/>
    <s v="PAT-1013"/>
    <s v="Neha Nair"/>
    <s v="Female"/>
    <n v="18"/>
    <s v="Faridabad"/>
    <s v="DOC-102"/>
    <s v="Dr. Alok Verma"/>
    <x v="0"/>
    <n v="12"/>
    <d v="2025-05-11T00:00:00"/>
    <d v="2025-05-20T00:00:00"/>
    <s v="Heart Failure Management"/>
    <s v="Follow-up"/>
    <n v="104118.52"/>
    <n v="85377.19"/>
    <n v="18741.330000000002"/>
    <s v="Paid"/>
    <n v="9"/>
    <n v="0.82000003457598125"/>
    <n v="0.17999996542401872"/>
  </r>
  <r>
    <n v="10250"/>
    <s v="PAT-1029"/>
    <s v="Amit Rao"/>
    <s v="Female"/>
    <n v="59"/>
    <s v="Jaipur"/>
    <s v="DOC-101"/>
    <s v="Dr. Rajesh Khanna"/>
    <x v="0"/>
    <n v="15"/>
    <d v="2025-04-28T00:00:00"/>
    <d v="2025-05-10T00:00:00"/>
    <s v="Coronary Artery Disease"/>
    <s v="Completed"/>
    <n v="277621.32"/>
    <n v="216544.63"/>
    <n v="61076.69"/>
    <s v="Paid"/>
    <n v="12"/>
    <n v="0.7800000014408115"/>
    <n v="0.21999999855918848"/>
  </r>
  <r>
    <n v="10251"/>
    <s v="PAT-1027"/>
    <s v="Siddharth Verma"/>
    <s v="Female"/>
    <n v="33"/>
    <s v="Noida"/>
    <s v="DOC-101"/>
    <s v="Dr. Rajesh Khanna"/>
    <x v="0"/>
    <n v="15"/>
    <d v="2025-12-08T00:00:00"/>
    <d v="2025-12-18T00:00:00"/>
    <s v="Heart Failure Management"/>
    <s v="Completed"/>
    <n v="173245.11"/>
    <n v="129933.83"/>
    <n v="43311.28"/>
    <s v="Pending"/>
    <n v="10"/>
    <n v="0.74999998556957836"/>
    <n v="0.25000001443042175"/>
  </r>
  <r>
    <n v="10252"/>
    <s v="PAT-1050"/>
    <s v="Priya Mehta"/>
    <s v="Male"/>
    <n v="33"/>
    <s v="Mumbai"/>
    <s v="DOC-101"/>
    <s v="Dr. Rajesh Khanna"/>
    <x v="0"/>
    <n v="15"/>
    <d v="2025-02-14T00:00:00"/>
    <d v="2025-02-24T00:00:00"/>
    <s v="Hypertension &amp; Arrhythmia"/>
    <s v="Follow-up"/>
    <n v="47066.51"/>
    <n v="35299.879999999997"/>
    <n v="11766.63"/>
    <s v="Paid"/>
    <n v="10"/>
    <n v="0.74999994688367577"/>
    <n v="0.25000005311632406"/>
  </r>
  <r>
    <n v="10253"/>
    <s v="PAT-1036"/>
    <s v="Rohan Joshi"/>
    <s v="Male"/>
    <n v="41"/>
    <s v="Delhi"/>
    <s v="DOC-104"/>
    <s v="Dr. Vikramaditya Rao"/>
    <x v="3"/>
    <n v="18"/>
    <d v="2025-03-29T00:00:00"/>
    <d v="2025-04-10T00:00:00"/>
    <s v="Migraine &amp; Nerve Compression"/>
    <s v="Completed"/>
    <n v="31575.16"/>
    <n v="24628.62"/>
    <n v="6946.54"/>
    <s v="Paid"/>
    <n v="12"/>
    <n v="0.77999984798176791"/>
    <n v="0.22000015201823206"/>
  </r>
  <r>
    <n v="10254"/>
    <s v="PAT-1015"/>
    <s v="Vikram Verma"/>
    <s v="Male"/>
    <n v="43"/>
    <s v="Mumbai"/>
    <s v="DOC-105"/>
    <s v="Dr. Amit Kumar"/>
    <x v="2"/>
    <n v="10"/>
    <d v="2025-05-21T00:00:00"/>
    <d v="2025-05-29T00:00:00"/>
    <s v="Cervical Spondylosis"/>
    <s v="Completed"/>
    <n v="30128.84"/>
    <n v="22295.34"/>
    <n v="7833.5"/>
    <s v="Paid"/>
    <n v="8"/>
    <n v="0.73999994689473603"/>
    <n v="0.26000005310526392"/>
  </r>
  <r>
    <n v="10255"/>
    <s v="PAT-1028"/>
    <s v="Vikram Kumar"/>
    <s v="Male"/>
    <n v="18"/>
    <s v="Delhi"/>
    <s v="DOC-106"/>
    <s v="Dr. Neha Sharma"/>
    <x v="2"/>
    <n v="8"/>
    <d v="2025-12-17T00:00:00"/>
    <d v="2025-12-21T00:00:00"/>
    <s v="Ligament Tear Repair"/>
    <s v="Completed"/>
    <n v="113137.56"/>
    <n v="80327.67"/>
    <n v="32809.89"/>
    <s v="Paid"/>
    <n v="4"/>
    <n v="0.71000002121311434"/>
    <n v="0.2899999787868856"/>
  </r>
  <r>
    <n v="10256"/>
    <s v="PAT-1043"/>
    <s v="Kavya Kumar"/>
    <s v="Male"/>
    <n v="35"/>
    <s v="Pune"/>
    <s v="DOC-106"/>
    <s v="Dr. Neha Sharma"/>
    <x v="2"/>
    <n v="8"/>
    <d v="2025-05-09T00:00:00"/>
    <d v="2025-05-11T00:00:00"/>
    <s v="Ligament Tear Repair"/>
    <s v="Completed"/>
    <n v="52236.639999999999"/>
    <n v="42834.04"/>
    <n v="9402.6"/>
    <s v="Pending"/>
    <n v="2"/>
    <n v="0.81999990811047574"/>
    <n v="0.18000009188952429"/>
  </r>
  <r>
    <n v="10257"/>
    <s v="PAT-1044"/>
    <s v="Pooja Singh"/>
    <s v="Male"/>
    <n v="67"/>
    <s v="Hyderabad"/>
    <s v="DOC-105"/>
    <s v="Dr. Amit Kumar"/>
    <x v="2"/>
    <n v="10"/>
    <d v="2025-10-29T00:00:00"/>
    <d v="2025-11-04T00:00:00"/>
    <s v="Ligament Tear Repair"/>
    <s v="Completed"/>
    <n v="63691.199999999997"/>
    <n v="38214.720000000001"/>
    <n v="25476.48"/>
    <s v="Paid"/>
    <n v="6"/>
    <n v="0.60000000000000009"/>
    <n v="0.4"/>
  </r>
  <r>
    <n v="10258"/>
    <s v="PAT-1005"/>
    <s v="Rohan Verma"/>
    <s v="Female"/>
    <n v="67"/>
    <s v="Pune"/>
    <s v="DOC-107"/>
    <s v="Dr. Meera Nair"/>
    <x v="1"/>
    <n v="9"/>
    <d v="2025-10-12T00:00:00"/>
    <d v="2025-10-26T00:00:00"/>
    <s v="Typhoid &amp; Severe Dehydration"/>
    <s v="Completed"/>
    <n v="19343.91"/>
    <n v="13927.62"/>
    <n v="5416.29"/>
    <s v="Paid"/>
    <n v="14"/>
    <n v="0.72000024814011232"/>
    <n v="0.27999975185988768"/>
  </r>
  <r>
    <n v="10259"/>
    <s v="PAT-1034"/>
    <s v="Siddharth Kumar"/>
    <s v="Male"/>
    <n v="65"/>
    <s v="Ghaziabad"/>
    <s v="DOC-101"/>
    <s v="Dr. Rajesh Khanna"/>
    <x v="0"/>
    <n v="15"/>
    <d v="2025-02-15T00:00:00"/>
    <d v="2025-02-22T00:00:00"/>
    <s v="Hypertension &amp; Arrhythmia"/>
    <s v="Follow-up"/>
    <n v="75931.240000000005"/>
    <n v="55429.81"/>
    <n v="20501.43"/>
    <s v="Pending"/>
    <n v="7"/>
    <n v="0.7300000632150877"/>
    <n v="0.26999993678491224"/>
  </r>
  <r>
    <n v="10260"/>
    <s v="PAT-1002"/>
    <s v="Amit Saxena"/>
    <s v="Male"/>
    <n v="56"/>
    <s v="Ghaziabad"/>
    <s v="DOC-101"/>
    <s v="Dr. Rajesh Khanna"/>
    <x v="0"/>
    <n v="15"/>
    <d v="2025-06-22T00:00:00"/>
    <d v="2025-07-03T00:00:00"/>
    <s v="Hypertension &amp; Arrhythmia"/>
    <s v="Completed"/>
    <n v="33293.15"/>
    <n v="27966.25"/>
    <n v="5326.9"/>
    <s v="Paid"/>
    <n v="11"/>
    <n v="0.84000012014483461"/>
    <n v="0.15999987985516539"/>
  </r>
  <r>
    <n v="10261"/>
    <s v="PAT-1019"/>
    <s v="Aarav Kapoor"/>
    <s v="Female"/>
    <n v="52"/>
    <s v="Hyderabad"/>
    <s v="DOC-104"/>
    <s v="Dr. Vikramaditya Rao"/>
    <x v="3"/>
    <n v="18"/>
    <d v="2025-05-19T00:00:00"/>
    <d v="2025-06-02T00:00:00"/>
    <s v="Migraine &amp; Nerve Compression"/>
    <s v="Completed"/>
    <n v="22038.799999999999"/>
    <n v="18071.82"/>
    <n v="3966.98"/>
    <s v="Paid"/>
    <n v="14"/>
    <n v="0.82000018149808518"/>
    <n v="0.17999981850191482"/>
  </r>
  <r>
    <n v="10262"/>
    <s v="PAT-1029"/>
    <s v="Amit Rao"/>
    <s v="Female"/>
    <n v="59"/>
    <s v="Jaipur"/>
    <s v="DOC-106"/>
    <s v="Dr. Neha Sharma"/>
    <x v="2"/>
    <n v="8"/>
    <d v="2025-04-19T00:00:00"/>
    <d v="2025-04-22T00:00:00"/>
    <s v="Cervical Spondylosis"/>
    <s v="Completed"/>
    <n v="40483.980000000003"/>
    <n v="33601.699999999997"/>
    <n v="6882.28"/>
    <s v="Paid"/>
    <n v="3"/>
    <n v="0.8299999160161623"/>
    <n v="0.17000008398383754"/>
  </r>
  <r>
    <n v="10263"/>
    <s v="PAT-1031"/>
    <s v="Kavya Kumar"/>
    <s v="Male"/>
    <n v="53"/>
    <s v="Jaipur"/>
    <s v="DOC-104"/>
    <s v="Dr. Vikramaditya Rao"/>
    <x v="3"/>
    <n v="18"/>
    <d v="2025-10-29T00:00:00"/>
    <d v="2025-11-02T00:00:00"/>
    <s v="Migraine &amp; Nerve Compression"/>
    <s v="Completed"/>
    <n v="44586.89"/>
    <n v="33886.04"/>
    <n v="10700.85"/>
    <s v="Paid"/>
    <n v="4"/>
    <n v="0.76000008074122238"/>
    <n v="0.23999991925877764"/>
  </r>
  <r>
    <n v="10264"/>
    <s v="PAT-1029"/>
    <s v="Amit Rao"/>
    <s v="Female"/>
    <n v="59"/>
    <s v="Jaipur"/>
    <s v="DOC-108"/>
    <s v="Dr. Sanjay Gupta"/>
    <x v="1"/>
    <n v="11"/>
    <d v="2025-09-06T00:00:00"/>
    <d v="2025-09-18T00:00:00"/>
    <s v="Typhoid &amp; Severe Dehydration"/>
    <s v="Follow-up"/>
    <n v="31254.46"/>
    <n v="21565.58"/>
    <n v="9688.8799999999992"/>
    <s v="Pending"/>
    <n v="12"/>
    <n v="0.69000008318812744"/>
    <n v="0.30999991681187261"/>
  </r>
  <r>
    <n v="10265"/>
    <s v="PAT-1014"/>
    <s v="Sneha Gupta"/>
    <s v="Male"/>
    <n v="45"/>
    <s v="Gurgaon"/>
    <s v="DOC-101"/>
    <s v="Dr. Rajesh Khanna"/>
    <x v="0"/>
    <n v="15"/>
    <d v="2025-07-29T00:00:00"/>
    <d v="2025-08-12T00:00:00"/>
    <s v="Heart Failure Management"/>
    <s v="Completed"/>
    <n v="248909.17"/>
    <n v="191660.06"/>
    <n v="57249.11"/>
    <s v="Paid"/>
    <n v="14"/>
    <n v="0.76999999638422312"/>
    <n v="0.23000000361577677"/>
  </r>
  <r>
    <n v="10266"/>
    <s v="PAT-1008"/>
    <s v="Priya Rao"/>
    <s v="Female"/>
    <n v="37"/>
    <s v="Ghaziabad"/>
    <s v="DOC-107"/>
    <s v="Dr. Meera Nair"/>
    <x v="1"/>
    <n v="9"/>
    <d v="2025-01-01T00:00:00"/>
    <d v="2025-01-12T00:00:00"/>
    <s v="Typhoid &amp; Severe Dehydration"/>
    <s v="Follow-up"/>
    <n v="26566.400000000001"/>
    <n v="18596.48"/>
    <n v="7969.92"/>
    <s v="Pending"/>
    <n v="11"/>
    <n v="0.7"/>
    <n v="0.3"/>
  </r>
  <r>
    <n v="10267"/>
    <s v="PAT-1026"/>
    <s v="Manish Gupta"/>
    <s v="Female"/>
    <n v="47"/>
    <s v="Ghaziabad"/>
    <s v="DOC-103"/>
    <s v="Dr. Sunita Kapoor"/>
    <x v="3"/>
    <n v="14"/>
    <d v="2025-04-29T00:00:00"/>
    <d v="2025-05-12T00:00:00"/>
    <s v="Migraine &amp; Nerve Compression"/>
    <s v="Completed"/>
    <n v="17503.580000000002"/>
    <n v="12252.51"/>
    <n v="5251.07"/>
    <s v="Pending"/>
    <n v="13"/>
    <n v="0.70000022852467891"/>
    <n v="0.29999977147532098"/>
  </r>
  <r>
    <n v="10268"/>
    <s v="PAT-1020"/>
    <s v="Ritu Verma"/>
    <s v="Female"/>
    <n v="68"/>
    <s v="Gurgaon"/>
    <s v="DOC-107"/>
    <s v="Dr. Meera Nair"/>
    <x v="1"/>
    <n v="9"/>
    <d v="2025-01-16T00:00:00"/>
    <d v="2025-01-24T00:00:00"/>
    <s v="Acute Viral Fever &amp; Infection"/>
    <s v="Completed"/>
    <n v="21904.48"/>
    <n v="15552.18"/>
    <n v="6352.3"/>
    <s v="Paid"/>
    <n v="8"/>
    <n v="0.70999996347779082"/>
    <n v="0.29000003652220918"/>
  </r>
  <r>
    <n v="10269"/>
    <s v="PAT-1048"/>
    <s v="Pooja Verma"/>
    <s v="Female"/>
    <n v="39"/>
    <s v="Pune"/>
    <s v="DOC-108"/>
    <s v="Dr. Sanjay Gupta"/>
    <x v="1"/>
    <n v="11"/>
    <d v="2025-07-25T00:00:00"/>
    <d v="2025-08-06T00:00:00"/>
    <s v="Acute Viral Fever &amp; Infection"/>
    <s v="Completed"/>
    <n v="14328.91"/>
    <n v="10460.1"/>
    <n v="3868.81"/>
    <s v="Paid"/>
    <n v="12"/>
    <n v="0.72999969990739011"/>
    <n v="0.27000030009261"/>
  </r>
  <r>
    <n v="10270"/>
    <s v="PAT-1044"/>
    <s v="Pooja Singh"/>
    <s v="Male"/>
    <n v="67"/>
    <s v="Hyderabad"/>
    <s v="DOC-107"/>
    <s v="Dr. Meera Nair"/>
    <x v="1"/>
    <n v="9"/>
    <d v="2025-01-25T00:00:00"/>
    <d v="2025-02-07T00:00:00"/>
    <s v="Pneumonia Management"/>
    <s v="Completed"/>
    <n v="25814.1"/>
    <n v="16262.88"/>
    <n v="9551.2199999999993"/>
    <s v="Paid"/>
    <n v="13"/>
    <n v="0.62999988378444338"/>
    <n v="0.37000011621555662"/>
  </r>
  <r>
    <n v="10271"/>
    <s v="PAT-1047"/>
    <s v="Aarav Nair"/>
    <s v="Female"/>
    <n v="56"/>
    <s v="Noida"/>
    <s v="DOC-108"/>
    <s v="Dr. Sanjay Gupta"/>
    <x v="1"/>
    <n v="11"/>
    <d v="2025-05-17T00:00:00"/>
    <d v="2025-05-30T00:00:00"/>
    <s v="Pneumonia Management"/>
    <s v="Completed"/>
    <n v="46227.78"/>
    <n v="33284"/>
    <n v="12943.78"/>
    <s v="Paid"/>
    <n v="13"/>
    <n v="0.71999996538877709"/>
    <n v="0.28000003461122297"/>
  </r>
  <r>
    <n v="10272"/>
    <s v="PAT-1012"/>
    <s v="Ananya Saxena"/>
    <s v="Male"/>
    <n v="40"/>
    <s v="Delhi"/>
    <s v="DOC-105"/>
    <s v="Dr. Amit Kumar"/>
    <x v="2"/>
    <n v="10"/>
    <d v="2025-12-05T00:00:00"/>
    <d v="2025-12-10T00:00:00"/>
    <s v="Ligament Tear Repair"/>
    <s v="Completed"/>
    <n v="115251.85"/>
    <n v="95659.04"/>
    <n v="19592.810000000001"/>
    <s v="Paid"/>
    <n v="5"/>
    <n v="0.83000003904492625"/>
    <n v="0.16999996095507361"/>
  </r>
  <r>
    <n v="10273"/>
    <s v="PAT-1024"/>
    <s v="Rahul Nair"/>
    <s v="Female"/>
    <n v="47"/>
    <s v="Delhi"/>
    <s v="DOC-104"/>
    <s v="Dr. Vikramaditya Rao"/>
    <x v="3"/>
    <n v="18"/>
    <d v="2025-02-04T00:00:00"/>
    <d v="2025-02-16T00:00:00"/>
    <s v="Migraine &amp; Nerve Compression"/>
    <s v="Completed"/>
    <n v="32091.65"/>
    <n v="21822.32"/>
    <n v="10269.33"/>
    <s v="Paid"/>
    <n v="12"/>
    <n v="0.67999993767849265"/>
    <n v="0.32000006232150729"/>
  </r>
  <r>
    <n v="10274"/>
    <s v="PAT-1047"/>
    <s v="Aarav Nair"/>
    <s v="Female"/>
    <n v="56"/>
    <s v="Noida"/>
    <s v="DOC-105"/>
    <s v="Dr. Amit Kumar"/>
    <x v="2"/>
    <n v="10"/>
    <d v="2025-03-22T00:00:00"/>
    <d v="2025-03-25T00:00:00"/>
    <s v="Knee Replacement Surgery"/>
    <s v="Completed"/>
    <n v="276722.03000000003"/>
    <n v="221377.62"/>
    <n v="55344.41"/>
    <s v="Paid"/>
    <n v="3"/>
    <n v="0.79999998554506113"/>
    <n v="0.20000001445493876"/>
  </r>
  <r>
    <n v="10275"/>
    <s v="PAT-1013"/>
    <s v="Neha Nair"/>
    <s v="Female"/>
    <n v="18"/>
    <s v="Faridabad"/>
    <s v="DOC-108"/>
    <s v="Dr. Sanjay Gupta"/>
    <x v="1"/>
    <n v="11"/>
    <d v="2025-06-16T00:00:00"/>
    <d v="2025-06-20T00:00:00"/>
    <s v="Pneumonia Management"/>
    <s v="Follow-up"/>
    <n v="66666.42"/>
    <n v="47333.16"/>
    <n v="19333.259999999998"/>
    <s v="Paid"/>
    <n v="4"/>
    <n v="0.71000002700010001"/>
    <n v="0.2899999729999001"/>
  </r>
  <r>
    <n v="10276"/>
    <s v="PAT-1048"/>
    <s v="Pooja Verma"/>
    <s v="Female"/>
    <n v="39"/>
    <s v="Pune"/>
    <s v="DOC-102"/>
    <s v="Dr. Alok Verma"/>
    <x v="0"/>
    <n v="12"/>
    <d v="2025-11-19T00:00:00"/>
    <d v="2025-11-28T00:00:00"/>
    <s v="Hypertension &amp; Arrhythmia"/>
    <s v="Follow-up"/>
    <n v="64326.64"/>
    <n v="40525.78"/>
    <n v="23800.86"/>
    <s v="Pending"/>
    <n v="9"/>
    <n v="0.62999995025389166"/>
    <n v="0.37000004974610834"/>
  </r>
  <r>
    <n v="10277"/>
    <s v="PAT-1032"/>
    <s v="Rahul Joshi"/>
    <s v="Female"/>
    <n v="19"/>
    <s v="Gurgaon"/>
    <s v="DOC-103"/>
    <s v="Dr. Sunita Kapoor"/>
    <x v="3"/>
    <n v="14"/>
    <d v="2025-11-22T00:00:00"/>
    <d v="2025-12-04T00:00:00"/>
    <s v="Acute Ischemic Stroke"/>
    <s v="Completed"/>
    <n v="103976.64"/>
    <n v="85260.84"/>
    <n v="18715.8"/>
    <s v="Pending"/>
    <n v="12"/>
    <n v="0.81999995383578461"/>
    <n v="0.18000004616421533"/>
  </r>
  <r>
    <n v="10278"/>
    <s v="PAT-1002"/>
    <s v="Amit Saxena"/>
    <s v="Male"/>
    <n v="56"/>
    <s v="Ghaziabad"/>
    <s v="DOC-104"/>
    <s v="Dr. Vikramaditya Rao"/>
    <x v="3"/>
    <n v="18"/>
    <d v="2025-07-15T00:00:00"/>
    <d v="2025-07-27T00:00:00"/>
    <s v="Migraine &amp; Nerve Compression"/>
    <s v="Completed"/>
    <n v="38705.56"/>
    <n v="29803.279999999999"/>
    <n v="8902.2800000000007"/>
    <s v="Paid"/>
    <n v="12"/>
    <n v="0.76999996899670231"/>
    <n v="0.23000003100329774"/>
  </r>
  <r>
    <n v="10279"/>
    <s v="PAT-1012"/>
    <s v="Ananya Saxena"/>
    <s v="Male"/>
    <n v="40"/>
    <s v="Delhi"/>
    <s v="DOC-102"/>
    <s v="Dr. Alok Verma"/>
    <x v="0"/>
    <n v="12"/>
    <d v="2025-03-04T00:00:00"/>
    <d v="2025-03-14T00:00:00"/>
    <s v="Coronary Artery Disease"/>
    <s v="Completed"/>
    <n v="427826.77"/>
    <n v="342261.42"/>
    <n v="85565.35"/>
    <s v="Paid"/>
    <n v="10"/>
    <n v="0.80000000934957849"/>
    <n v="0.19999999065042143"/>
  </r>
  <r>
    <n v="10280"/>
    <s v="PAT-1018"/>
    <s v="Pooja Saxena"/>
    <s v="Male"/>
    <n v="23"/>
    <s v="Noida"/>
    <s v="DOC-104"/>
    <s v="Dr. Vikramaditya Rao"/>
    <x v="3"/>
    <n v="18"/>
    <d v="2025-03-14T00:00:00"/>
    <d v="2025-03-27T00:00:00"/>
    <s v="Acute Ischemic Stroke"/>
    <s v="Follow-up"/>
    <n v="129610.43"/>
    <n v="108872.76"/>
    <n v="20737.669999999998"/>
    <s v="Pending"/>
    <n v="13"/>
    <n v="0.8399999907414859"/>
    <n v="0.16000000925851415"/>
  </r>
  <r>
    <n v="10281"/>
    <s v="PAT-1008"/>
    <s v="Priya Rao"/>
    <s v="Female"/>
    <n v="37"/>
    <s v="Ghaziabad"/>
    <s v="DOC-104"/>
    <s v="Dr. Vikramaditya Rao"/>
    <x v="3"/>
    <n v="18"/>
    <d v="2025-06-26T00:00:00"/>
    <d v="2025-07-10T00:00:00"/>
    <s v="Acute Ischemic Stroke"/>
    <s v="Follow-up"/>
    <n v="195578.73"/>
    <n v="129081.96"/>
    <n v="66496.77"/>
    <s v="Paid"/>
    <n v="14"/>
    <n v="0.65999999079654526"/>
    <n v="0.3400000092034548"/>
  </r>
  <r>
    <n v="10282"/>
    <s v="PAT-1023"/>
    <s v="Neha Rao"/>
    <s v="Male"/>
    <n v="21"/>
    <s v="Pune"/>
    <s v="DOC-105"/>
    <s v="Dr. Amit Kumar"/>
    <x v="2"/>
    <n v="10"/>
    <d v="2025-06-02T00:00:00"/>
    <d v="2025-06-06T00:00:00"/>
    <s v="Ligament Tear Repair"/>
    <s v="Completed"/>
    <n v="53170.54"/>
    <n v="38814.49"/>
    <n v="14356.05"/>
    <s v="Paid"/>
    <n v="4"/>
    <n v="0.72999992100888944"/>
    <n v="0.27000007899111045"/>
  </r>
  <r>
    <n v="10283"/>
    <s v="PAT-1006"/>
    <s v="Neha Singh"/>
    <s v="Female"/>
    <n v="68"/>
    <s v="Mumbai"/>
    <s v="DOC-108"/>
    <s v="Dr. Sanjay Gupta"/>
    <x v="1"/>
    <n v="11"/>
    <d v="2025-05-19T00:00:00"/>
    <d v="2025-06-02T00:00:00"/>
    <s v="Pneumonia Management"/>
    <s v="Completed"/>
    <n v="47907.41"/>
    <n v="29702.59"/>
    <n v="18204.82"/>
    <s v="Paid"/>
    <n v="14"/>
    <n v="0.61999991233088991"/>
    <n v="0.38000008766911003"/>
  </r>
  <r>
    <n v="10284"/>
    <s v="PAT-1050"/>
    <s v="Priya Mehta"/>
    <s v="Male"/>
    <n v="33"/>
    <s v="Mumbai"/>
    <s v="DOC-107"/>
    <s v="Dr. Meera Nair"/>
    <x v="1"/>
    <n v="9"/>
    <d v="2025-10-30T00:00:00"/>
    <d v="2025-11-09T00:00:00"/>
    <s v="Typhoid &amp; Severe Dehydration"/>
    <s v="Completed"/>
    <n v="28132.39"/>
    <n v="21943.26"/>
    <n v="6189.13"/>
    <s v="Paid"/>
    <n v="10"/>
    <n v="0.7799998507058945"/>
    <n v="0.2200001492941055"/>
  </r>
  <r>
    <n v="10285"/>
    <s v="PAT-1048"/>
    <s v="Pooja Verma"/>
    <s v="Female"/>
    <n v="39"/>
    <s v="Pune"/>
    <s v="DOC-107"/>
    <s v="Dr. Meera Nair"/>
    <x v="1"/>
    <n v="9"/>
    <d v="2025-06-18T00:00:00"/>
    <d v="2025-06-26T00:00:00"/>
    <s v="Pneumonia Management"/>
    <s v="Completed"/>
    <n v="39350.410000000003"/>
    <n v="25971.27"/>
    <n v="13379.14"/>
    <s v="Paid"/>
    <n v="8"/>
    <n v="0.65999998475238242"/>
    <n v="0.34000001524761747"/>
  </r>
  <r>
    <n v="10286"/>
    <s v="PAT-1045"/>
    <s v="Sneha Sharma"/>
    <s v="Male"/>
    <n v="44"/>
    <s v="Hyderabad"/>
    <s v="DOC-106"/>
    <s v="Dr. Neha Sharma"/>
    <x v="2"/>
    <n v="8"/>
    <d v="2025-03-03T00:00:00"/>
    <d v="2025-03-05T00:00:00"/>
    <s v="Ligament Tear Repair"/>
    <s v="Completed"/>
    <n v="128188.75"/>
    <n v="88450.240000000005"/>
    <n v="39738.51"/>
    <s v="Pending"/>
    <n v="2"/>
    <n v="0.69000001950249146"/>
    <n v="0.3099999804975086"/>
  </r>
  <r>
    <n v="10287"/>
    <s v="PAT-1047"/>
    <s v="Aarav Nair"/>
    <s v="Female"/>
    <n v="56"/>
    <s v="Noida"/>
    <s v="DOC-106"/>
    <s v="Dr. Neha Sharma"/>
    <x v="2"/>
    <n v="8"/>
    <d v="2025-09-21T00:00:00"/>
    <d v="2025-10-05T00:00:00"/>
    <s v="Cervical Spondylosis"/>
    <s v="Follow-up"/>
    <n v="58968.49"/>
    <n v="38329.519999999997"/>
    <n v="20638.97"/>
    <s v="Pending"/>
    <n v="14"/>
    <n v="0.65000002543731406"/>
    <n v="0.34999997456268594"/>
  </r>
  <r>
    <n v="10288"/>
    <s v="PAT-1006"/>
    <s v="Neha Singh"/>
    <s v="Female"/>
    <n v="68"/>
    <s v="Mumbai"/>
    <s v="DOC-103"/>
    <s v="Dr. Sunita Kapoor"/>
    <x v="3"/>
    <n v="14"/>
    <d v="2025-10-25T00:00:00"/>
    <d v="2025-11-08T00:00:00"/>
    <s v="Acute Ischemic Stroke"/>
    <s v="Completed"/>
    <n v="289550.01"/>
    <n v="243222.01"/>
    <n v="46328"/>
    <s v="Paid"/>
    <n v="14"/>
    <n v="0.84000000552581577"/>
    <n v="0.15999999447418425"/>
  </r>
  <r>
    <n v="10289"/>
    <s v="PAT-1022"/>
    <s v="Kavya Gupta"/>
    <s v="Male"/>
    <n v="27"/>
    <s v="Faridabad"/>
    <s v="DOC-103"/>
    <s v="Dr. Sunita Kapoor"/>
    <x v="3"/>
    <n v="14"/>
    <d v="2025-03-21T00:00:00"/>
    <d v="2025-03-29T00:00:00"/>
    <s v="Acute Ischemic Stroke"/>
    <s v="Follow-up"/>
    <n v="270919.67"/>
    <n v="167970.2"/>
    <n v="102949.47"/>
    <s v="Paid"/>
    <n v="8"/>
    <n v="0.62000001697920282"/>
    <n v="0.37999998302079729"/>
  </r>
  <r>
    <n v="10290"/>
    <s v="PAT-1050"/>
    <s v="Priya Mehta"/>
    <s v="Male"/>
    <n v="33"/>
    <s v="Mumbai"/>
    <s v="DOC-107"/>
    <s v="Dr. Meera Nair"/>
    <x v="1"/>
    <n v="9"/>
    <d v="2025-06-17T00:00:00"/>
    <d v="2025-06-20T00:00:00"/>
    <s v="Pneumonia Management"/>
    <s v="Completed"/>
    <n v="60309.41"/>
    <n v="37994.93"/>
    <n v="22314.48"/>
    <s v="Paid"/>
    <n v="3"/>
    <n v="0.63000002818797263"/>
    <n v="0.36999997181202732"/>
  </r>
  <r>
    <n v="10291"/>
    <s v="PAT-1032"/>
    <s v="Rahul Joshi"/>
    <s v="Female"/>
    <n v="19"/>
    <s v="Gurgaon"/>
    <s v="DOC-103"/>
    <s v="Dr. Sunita Kapoor"/>
    <x v="3"/>
    <n v="14"/>
    <d v="2025-07-25T00:00:00"/>
    <d v="2025-08-07T00:00:00"/>
    <s v="Acute Ischemic Stroke"/>
    <s v="Completed"/>
    <n v="95744.320000000007"/>
    <n v="60318.92"/>
    <n v="35425.4"/>
    <s v="Paid"/>
    <n v="13"/>
    <n v="0.62999998328882589"/>
    <n v="0.37000001671117411"/>
  </r>
  <r>
    <n v="10292"/>
    <s v="PAT-1012"/>
    <s v="Ananya Saxena"/>
    <s v="Male"/>
    <n v="40"/>
    <s v="Delhi"/>
    <s v="DOC-108"/>
    <s v="Dr. Sanjay Gupta"/>
    <x v="1"/>
    <n v="11"/>
    <d v="2025-11-29T00:00:00"/>
    <d v="2025-12-06T00:00:00"/>
    <s v="Pneumonia Management"/>
    <s v="Completed"/>
    <n v="50211.6"/>
    <n v="35650.239999999998"/>
    <n v="14561.36"/>
    <s v="Paid"/>
    <n v="7"/>
    <n v="0.71000007966286671"/>
    <n v="0.28999992033713329"/>
  </r>
  <r>
    <n v="10293"/>
    <s v="PAT-1028"/>
    <s v="Vikram Kumar"/>
    <s v="Male"/>
    <n v="18"/>
    <s v="Delhi"/>
    <s v="DOC-103"/>
    <s v="Dr. Sunita Kapoor"/>
    <x v="3"/>
    <n v="14"/>
    <d v="2025-06-22T00:00:00"/>
    <d v="2025-06-30T00:00:00"/>
    <s v="Acute Ischemic Stroke"/>
    <s v="Follow-up"/>
    <n v="195455.6"/>
    <n v="152455.37"/>
    <n v="43000.23"/>
    <s v="Paid"/>
    <n v="8"/>
    <n v="0.78000001023250287"/>
    <n v="0.21999998976749707"/>
  </r>
  <r>
    <n v="10294"/>
    <s v="PAT-1048"/>
    <s v="Pooja Verma"/>
    <s v="Female"/>
    <n v="39"/>
    <s v="Pune"/>
    <s v="DOC-103"/>
    <s v="Dr. Sunita Kapoor"/>
    <x v="3"/>
    <n v="14"/>
    <d v="2025-12-16T00:00:00"/>
    <d v="2025-12-21T00:00:00"/>
    <s v="Migraine &amp; Nerve Compression"/>
    <s v="Completed"/>
    <n v="34227.17"/>
    <n v="28408.55"/>
    <n v="5818.62"/>
    <s v="Pending"/>
    <n v="5"/>
    <n v="0.82999996786178931"/>
    <n v="0.17000003213821066"/>
  </r>
  <r>
    <n v="10295"/>
    <s v="PAT-1008"/>
    <s v="Priya Rao"/>
    <s v="Female"/>
    <n v="37"/>
    <s v="Ghaziabad"/>
    <s v="DOC-106"/>
    <s v="Dr. Neha Sharma"/>
    <x v="2"/>
    <n v="8"/>
    <d v="2025-06-25T00:00:00"/>
    <d v="2025-06-27T00:00:00"/>
    <s v="Cervical Spondylosis"/>
    <s v="Completed"/>
    <n v="32537.439999999999"/>
    <n v="25053.83"/>
    <n v="7483.61"/>
    <s v="Paid"/>
    <n v="2"/>
    <n v="0.7700000368805906"/>
    <n v="0.22999996311940951"/>
  </r>
  <r>
    <n v="10296"/>
    <s v="PAT-1008"/>
    <s v="Priya Rao"/>
    <s v="Female"/>
    <n v="37"/>
    <s v="Ghaziabad"/>
    <s v="DOC-107"/>
    <s v="Dr. Meera Nair"/>
    <x v="1"/>
    <n v="9"/>
    <d v="2025-08-01T00:00:00"/>
    <d v="2025-08-12T00:00:00"/>
    <s v="Acute Viral Fever &amp; Infection"/>
    <s v="Follow-up"/>
    <n v="11854.63"/>
    <n v="8179.69"/>
    <n v="3674.94"/>
    <s v="Paid"/>
    <n v="11"/>
    <n v="0.68999960353043499"/>
    <n v="0.31000039646956506"/>
  </r>
  <r>
    <n v="10297"/>
    <s v="PAT-1035"/>
    <s v="Rahul Verma"/>
    <s v="Male"/>
    <n v="27"/>
    <s v="Noida"/>
    <s v="DOC-105"/>
    <s v="Dr. Amit Kumar"/>
    <x v="2"/>
    <n v="10"/>
    <d v="2025-12-02T00:00:00"/>
    <d v="2025-12-07T00:00:00"/>
    <s v="Ligament Tear Repair"/>
    <s v="Completed"/>
    <n v="57483.89"/>
    <n v="35065.17"/>
    <n v="22418.720000000001"/>
    <s v="Paid"/>
    <n v="5"/>
    <n v="0.60999994955108294"/>
    <n v="0.39000005044891711"/>
  </r>
  <r>
    <n v="10298"/>
    <s v="PAT-1019"/>
    <s v="Aarav Kapoor"/>
    <s v="Female"/>
    <n v="52"/>
    <s v="Hyderabad"/>
    <s v="DOC-105"/>
    <s v="Dr. Amit Kumar"/>
    <x v="2"/>
    <n v="10"/>
    <d v="2025-01-19T00:00:00"/>
    <d v="2025-02-02T00:00:00"/>
    <s v="Cervical Spondylosis"/>
    <s v="Completed"/>
    <n v="35755.32"/>
    <n v="27174.04"/>
    <n v="8581.2800000000007"/>
    <s v="Paid"/>
    <n v="14"/>
    <n v="0.75999991050282867"/>
    <n v="0.24000008949717136"/>
  </r>
  <r>
    <n v="10299"/>
    <s v="PAT-1039"/>
    <s v="Rahul Saxena"/>
    <s v="Female"/>
    <n v="37"/>
    <s v="Faridabad"/>
    <s v="DOC-107"/>
    <s v="Dr. Meera Nair"/>
    <x v="1"/>
    <n v="9"/>
    <d v="2025-01-31T00:00:00"/>
    <d v="2025-02-14T00:00:00"/>
    <s v="Typhoid &amp; Severe Dehydration"/>
    <s v="Completed"/>
    <n v="32569.21"/>
    <n v="24752.6"/>
    <n v="7816.61"/>
    <s v="Paid"/>
    <n v="14"/>
    <n v="0.76000001228153824"/>
    <n v="0.2399999877184617"/>
  </r>
  <r>
    <n v="10300"/>
    <s v="PAT-1007"/>
    <s v="Ananya Kumar"/>
    <s v="Female"/>
    <n v="45"/>
    <s v="Ghaziabad"/>
    <s v="DOC-103"/>
    <s v="Dr. Sunita Kapoor"/>
    <x v="3"/>
    <n v="14"/>
    <d v="2025-08-17T00:00:00"/>
    <d v="2025-08-23T00:00:00"/>
    <s v="Migraine &amp; Nerve Compression"/>
    <s v="Follow-up"/>
    <n v="21691.85"/>
    <n v="15835.05"/>
    <n v="5856.8"/>
    <s v="Paid"/>
    <n v="6"/>
    <n v="0.72999997694986829"/>
    <n v="0.27000002305013177"/>
  </r>
  <r>
    <n v="10301"/>
    <s v="PAT-1021"/>
    <s v="Amit Gupta"/>
    <s v="Male"/>
    <n v="65"/>
    <s v="Pune"/>
    <s v="DOC-104"/>
    <s v="Dr. Vikramaditya Rao"/>
    <x v="3"/>
    <n v="18"/>
    <d v="2025-09-30T00:00:00"/>
    <d v="2025-10-13T00:00:00"/>
    <s v="Migraine &amp; Nerve Compression"/>
    <s v="Completed"/>
    <n v="15081.27"/>
    <n v="10707.7"/>
    <n v="4373.57"/>
    <s v="Paid"/>
    <n v="13"/>
    <n v="0.70999988727739771"/>
    <n v="0.29000011272260223"/>
  </r>
  <r>
    <n v="10302"/>
    <s v="PAT-1023"/>
    <s v="Neha Rao"/>
    <s v="Male"/>
    <n v="21"/>
    <s v="Pune"/>
    <s v="DOC-108"/>
    <s v="Dr. Sanjay Gupta"/>
    <x v="1"/>
    <n v="11"/>
    <d v="2025-03-06T00:00:00"/>
    <d v="2025-03-13T00:00:00"/>
    <s v="Acute Viral Fever &amp; Infection"/>
    <s v="Completed"/>
    <n v="19921.93"/>
    <n v="14144.57"/>
    <n v="5777.36"/>
    <s v="Pending"/>
    <n v="7"/>
    <n v="0.70999998494121797"/>
    <n v="0.29000001505878192"/>
  </r>
  <r>
    <n v="10303"/>
    <s v="PAT-1046"/>
    <s v="Amit Mehta"/>
    <s v="Male"/>
    <n v="49"/>
    <s v="Delhi"/>
    <s v="DOC-104"/>
    <s v="Dr. Vikramaditya Rao"/>
    <x v="3"/>
    <n v="18"/>
    <d v="2025-03-03T00:00:00"/>
    <d v="2025-03-16T00:00:00"/>
    <s v="Migraine &amp; Nerve Compression"/>
    <s v="Completed"/>
    <n v="22862.5"/>
    <n v="16918.25"/>
    <n v="5944.25"/>
    <s v="Paid"/>
    <n v="13"/>
    <n v="0.74"/>
    <n v="0.26"/>
  </r>
  <r>
    <n v="10304"/>
    <s v="PAT-1007"/>
    <s v="Ananya Kumar"/>
    <s v="Female"/>
    <n v="45"/>
    <s v="Ghaziabad"/>
    <s v="DOC-107"/>
    <s v="Dr. Meera Nair"/>
    <x v="1"/>
    <n v="9"/>
    <d v="2025-11-22T00:00:00"/>
    <d v="2025-11-24T00:00:00"/>
    <s v="Pneumonia Management"/>
    <s v="Follow-up"/>
    <n v="46048.42"/>
    <n v="31312.93"/>
    <n v="14735.49"/>
    <s v="Paid"/>
    <n v="2"/>
    <n v="0.68000009555159546"/>
    <n v="0.31999990444840454"/>
  </r>
  <r>
    <n v="10305"/>
    <s v="PAT-1020"/>
    <s v="Ritu Verma"/>
    <s v="Female"/>
    <n v="68"/>
    <s v="Gurgaon"/>
    <s v="DOC-104"/>
    <s v="Dr. Vikramaditya Rao"/>
    <x v="3"/>
    <n v="18"/>
    <d v="2025-10-06T00:00:00"/>
    <d v="2025-10-12T00:00:00"/>
    <s v="Migraine &amp; Nerve Compression"/>
    <s v="Follow-up"/>
    <n v="31695.46"/>
    <n v="26624.19"/>
    <n v="5071.2700000000004"/>
    <s v="Pending"/>
    <n v="6"/>
    <n v="0.84000011358093551"/>
    <n v="0.15999988641906446"/>
  </r>
  <r>
    <n v="10306"/>
    <s v="PAT-1028"/>
    <s v="Vikram Kumar"/>
    <s v="Male"/>
    <n v="18"/>
    <s v="Delhi"/>
    <s v="DOC-101"/>
    <s v="Dr. Rajesh Khanna"/>
    <x v="0"/>
    <n v="15"/>
    <d v="2025-09-21T00:00:00"/>
    <d v="2025-09-27T00:00:00"/>
    <s v="Coronary Artery Disease"/>
    <s v="Follow-up"/>
    <n v="428016.63"/>
    <n v="291051.31"/>
    <n v="136965.32"/>
    <s v="Paid"/>
    <n v="6"/>
    <n v="0.68000000373817249"/>
    <n v="0.31999999626182751"/>
  </r>
  <r>
    <n v="10307"/>
    <s v="PAT-1038"/>
    <s v="Rahul Kumar"/>
    <s v="Male"/>
    <n v="26"/>
    <s v="Hyderabad"/>
    <s v="DOC-105"/>
    <s v="Dr. Amit Kumar"/>
    <x v="2"/>
    <n v="10"/>
    <d v="2025-07-12T00:00:00"/>
    <d v="2025-07-23T00:00:00"/>
    <s v="Cervical Spondylosis"/>
    <s v="Completed"/>
    <n v="52463.15"/>
    <n v="41970.52"/>
    <n v="10492.63"/>
    <s v="Paid"/>
    <n v="11"/>
    <n v="0.79999999999999993"/>
    <n v="0.19999999999999998"/>
  </r>
  <r>
    <n v="10308"/>
    <s v="PAT-1031"/>
    <s v="Kavya Kumar"/>
    <s v="Male"/>
    <n v="53"/>
    <s v="Jaipur"/>
    <s v="DOC-102"/>
    <s v="Dr. Alok Verma"/>
    <x v="0"/>
    <n v="12"/>
    <d v="2025-04-10T00:00:00"/>
    <d v="2025-04-22T00:00:00"/>
    <s v="Heart Failure Management"/>
    <s v="Completed"/>
    <n v="198317.91"/>
    <n v="160637.51"/>
    <n v="37680.400000000001"/>
    <s v="Paid"/>
    <n v="12"/>
    <n v="0.81000001462298588"/>
    <n v="0.18999998537701412"/>
  </r>
  <r>
    <n v="10309"/>
    <s v="PAT-1014"/>
    <s v="Sneha Gupta"/>
    <s v="Male"/>
    <n v="45"/>
    <s v="Gurgaon"/>
    <s v="DOC-105"/>
    <s v="Dr. Amit Kumar"/>
    <x v="2"/>
    <n v="10"/>
    <d v="2025-07-20T00:00:00"/>
    <d v="2025-08-03T00:00:00"/>
    <s v="Cervical Spondylosis"/>
    <s v="Follow-up"/>
    <n v="21257.59"/>
    <n v="14455.16"/>
    <n v="6802.43"/>
    <s v="Paid"/>
    <n v="14"/>
    <n v="0.67999994354957449"/>
    <n v="0.32000005645042551"/>
  </r>
  <r>
    <n v="10310"/>
    <s v="PAT-1033"/>
    <s v="Vikram Joshi"/>
    <s v="Female"/>
    <n v="75"/>
    <s v="Bangalore"/>
    <s v="DOC-105"/>
    <s v="Dr. Amit Kumar"/>
    <x v="2"/>
    <n v="10"/>
    <d v="2025-08-24T00:00:00"/>
    <d v="2025-09-07T00:00:00"/>
    <s v="Ligament Tear Repair"/>
    <s v="Completed"/>
    <n v="58195.63"/>
    <n v="43646.720000000001"/>
    <n v="14548.91"/>
    <s v="Pending"/>
    <n v="14"/>
    <n v="0.74999995704144806"/>
    <n v="0.25000004295855205"/>
  </r>
  <r>
    <n v="10311"/>
    <s v="PAT-1014"/>
    <s v="Sneha Gupta"/>
    <s v="Male"/>
    <n v="45"/>
    <s v="Gurgaon"/>
    <s v="DOC-108"/>
    <s v="Dr. Sanjay Gupta"/>
    <x v="1"/>
    <n v="11"/>
    <d v="2025-03-23T00:00:00"/>
    <d v="2025-03-25T00:00:00"/>
    <s v="Typhoid &amp; Severe Dehydration"/>
    <s v="Completed"/>
    <n v="25769.93"/>
    <n v="19842.849999999999"/>
    <n v="5927.08"/>
    <s v="Pending"/>
    <n v="2"/>
    <n v="0.77000015133917699"/>
    <n v="0.2299998486608229"/>
  </r>
  <r>
    <n v="10312"/>
    <s v="PAT-1006"/>
    <s v="Neha Singh"/>
    <s v="Female"/>
    <n v="68"/>
    <s v="Mumbai"/>
    <s v="DOC-105"/>
    <s v="Dr. Amit Kumar"/>
    <x v="2"/>
    <n v="10"/>
    <d v="2025-04-10T00:00:00"/>
    <d v="2025-04-23T00:00:00"/>
    <s v="Ligament Tear Repair"/>
    <s v="Completed"/>
    <n v="94040.15"/>
    <n v="63006.9"/>
    <n v="31033.25"/>
    <s v="Paid"/>
    <n v="13"/>
    <n v="0.6699999946831221"/>
    <n v="0.33000000531687795"/>
  </r>
  <r>
    <n v="10313"/>
    <s v="PAT-1050"/>
    <s v="Priya Mehta"/>
    <s v="Male"/>
    <n v="33"/>
    <s v="Mumbai"/>
    <s v="DOC-101"/>
    <s v="Dr. Rajesh Khanna"/>
    <x v="0"/>
    <n v="15"/>
    <d v="2025-10-22T00:00:00"/>
    <d v="2025-11-02T00:00:00"/>
    <s v="Coronary Artery Disease"/>
    <s v="Completed"/>
    <n v="380762.43"/>
    <n v="262726.08"/>
    <n v="118036.35"/>
    <s v="Paid"/>
    <n v="11"/>
    <n v="0.69000000866682154"/>
    <n v="0.30999999133317857"/>
  </r>
  <r>
    <n v="10314"/>
    <s v="PAT-1017"/>
    <s v="Ritu Saxena"/>
    <s v="Female"/>
    <n v="73"/>
    <s v="Gurgaon"/>
    <s v="DOC-101"/>
    <s v="Dr. Rajesh Khanna"/>
    <x v="0"/>
    <n v="15"/>
    <d v="2025-12-05T00:00:00"/>
    <d v="2025-12-16T00:00:00"/>
    <s v="Heart Failure Management"/>
    <s v="Completed"/>
    <n v="205175.43"/>
    <n v="125157.01"/>
    <n v="80018.42"/>
    <s v="Pending"/>
    <n v="11"/>
    <n v="0.60999998879008077"/>
    <n v="0.39000001120991923"/>
  </r>
  <r>
    <n v="10315"/>
    <s v="PAT-1021"/>
    <s v="Amit Gupta"/>
    <s v="Male"/>
    <n v="65"/>
    <s v="Pune"/>
    <s v="DOC-102"/>
    <s v="Dr. Alok Verma"/>
    <x v="0"/>
    <n v="12"/>
    <d v="2025-10-21T00:00:00"/>
    <d v="2025-10-28T00:00:00"/>
    <s v="Heart Failure Management"/>
    <s v="Follow-up"/>
    <n v="183619.4"/>
    <n v="135878.35999999999"/>
    <n v="47741.04"/>
    <s v="Paid"/>
    <n v="7"/>
    <n v="0.74000002178419055"/>
    <n v="0.25999997821580945"/>
  </r>
  <r>
    <n v="10316"/>
    <s v="PAT-1022"/>
    <s v="Kavya Gupta"/>
    <s v="Male"/>
    <n v="27"/>
    <s v="Faridabad"/>
    <s v="DOC-105"/>
    <s v="Dr. Amit Kumar"/>
    <x v="2"/>
    <n v="10"/>
    <d v="2025-07-07T00:00:00"/>
    <d v="2025-07-09T00:00:00"/>
    <s v="Ligament Tear Repair"/>
    <s v="Completed"/>
    <n v="132207.74"/>
    <n v="91223.34"/>
    <n v="40984.400000000001"/>
    <s v="Paid"/>
    <n v="2"/>
    <n v="0.68999999546168778"/>
    <n v="0.31000000453831222"/>
  </r>
  <r>
    <n v="10317"/>
    <s v="PAT-1036"/>
    <s v="Rohan Joshi"/>
    <s v="Male"/>
    <n v="41"/>
    <s v="Delhi"/>
    <s v="DOC-101"/>
    <s v="Dr. Rajesh Khanna"/>
    <x v="0"/>
    <n v="15"/>
    <d v="2025-10-12T00:00:00"/>
    <d v="2025-10-26T00:00:00"/>
    <s v="Hypertension &amp; Arrhythmia"/>
    <s v="Completed"/>
    <n v="35426.720000000001"/>
    <n v="21610.3"/>
    <n v="13816.42"/>
    <s v="Paid"/>
    <n v="14"/>
    <n v="0.61000002258182517"/>
    <n v="0.38999997741817477"/>
  </r>
  <r>
    <n v="10318"/>
    <s v="PAT-1028"/>
    <s v="Vikram Kumar"/>
    <s v="Male"/>
    <n v="18"/>
    <s v="Delhi"/>
    <s v="DOC-106"/>
    <s v="Dr. Neha Sharma"/>
    <x v="2"/>
    <n v="8"/>
    <d v="2025-06-01T00:00:00"/>
    <d v="2025-06-10T00:00:00"/>
    <s v="Cervical Spondylosis"/>
    <s v="Completed"/>
    <n v="50904.02"/>
    <n v="35123.769999999997"/>
    <n v="15780.25"/>
    <s v="Pending"/>
    <n v="9"/>
    <n v="0.68999992534970711"/>
    <n v="0.31000007465029289"/>
  </r>
  <r>
    <n v="10319"/>
    <s v="PAT-1014"/>
    <s v="Sneha Gupta"/>
    <s v="Male"/>
    <n v="45"/>
    <s v="Gurgaon"/>
    <s v="DOC-107"/>
    <s v="Dr. Meera Nair"/>
    <x v="1"/>
    <n v="9"/>
    <d v="2025-12-11T00:00:00"/>
    <d v="2025-12-19T00:00:00"/>
    <s v="Pneumonia Management"/>
    <s v="Completed"/>
    <n v="53699.12"/>
    <n v="40811.33"/>
    <n v="12887.79"/>
    <s v="Paid"/>
    <n v="8"/>
    <n v="0.7599999776532651"/>
    <n v="0.24000002234673493"/>
  </r>
  <r>
    <n v="10320"/>
    <s v="PAT-1013"/>
    <s v="Neha Nair"/>
    <s v="Female"/>
    <n v="18"/>
    <s v="Faridabad"/>
    <s v="DOC-105"/>
    <s v="Dr. Amit Kumar"/>
    <x v="2"/>
    <n v="10"/>
    <d v="2025-06-07T00:00:00"/>
    <d v="2025-06-20T00:00:00"/>
    <s v="Ligament Tear Repair"/>
    <s v="Completed"/>
    <n v="64804.72"/>
    <n v="50547.68"/>
    <n v="14257.04"/>
    <s v="Paid"/>
    <n v="13"/>
    <n v="0.7799999753104403"/>
    <n v="0.22000002468955965"/>
  </r>
  <r>
    <n v="10321"/>
    <s v="PAT-1010"/>
    <s v="Siddharth Rao"/>
    <s v="Male"/>
    <n v="45"/>
    <s v="Noida"/>
    <s v="DOC-104"/>
    <s v="Dr. Vikramaditya Rao"/>
    <x v="3"/>
    <n v="18"/>
    <d v="2025-11-25T00:00:00"/>
    <d v="2025-12-06T00:00:00"/>
    <s v="Epilepsy Monitoring"/>
    <s v="Follow-up"/>
    <n v="59511.98"/>
    <n v="42848.63"/>
    <n v="16663.349999999999"/>
    <s v="Paid"/>
    <n v="11"/>
    <n v="0.72000007393469345"/>
    <n v="0.27999992606530649"/>
  </r>
  <r>
    <n v="10322"/>
    <s v="PAT-1014"/>
    <s v="Sneha Gupta"/>
    <s v="Male"/>
    <n v="45"/>
    <s v="Gurgaon"/>
    <s v="DOC-105"/>
    <s v="Dr. Amit Kumar"/>
    <x v="2"/>
    <n v="10"/>
    <d v="2025-04-28T00:00:00"/>
    <d v="2025-05-09T00:00:00"/>
    <s v="Ligament Tear Repair"/>
    <s v="Follow-up"/>
    <n v="52638.26"/>
    <n v="31582.959999999999"/>
    <n v="21055.3"/>
    <s v="Paid"/>
    <n v="11"/>
    <n v="0.60000007599035377"/>
    <n v="0.39999992400964618"/>
  </r>
  <r>
    <n v="10323"/>
    <s v="PAT-1037"/>
    <s v="Kavya Kumar"/>
    <s v="Male"/>
    <n v="61"/>
    <s v="Mumbai"/>
    <s v="DOC-105"/>
    <s v="Dr. Amit Kumar"/>
    <x v="2"/>
    <n v="10"/>
    <d v="2025-06-08T00:00:00"/>
    <d v="2025-06-14T00:00:00"/>
    <s v="Cervical Spondylosis"/>
    <s v="Completed"/>
    <n v="40203.32"/>
    <n v="24121.99"/>
    <n v="16081.33"/>
    <s v="Paid"/>
    <n v="6"/>
    <n v="0.59999995025286468"/>
    <n v="0.40000004974713532"/>
  </r>
  <r>
    <n v="10324"/>
    <s v="PAT-1006"/>
    <s v="Neha Singh"/>
    <s v="Female"/>
    <n v="68"/>
    <s v="Mumbai"/>
    <s v="DOC-107"/>
    <s v="Dr. Meera Nair"/>
    <x v="1"/>
    <n v="9"/>
    <d v="2025-07-23T00:00:00"/>
    <d v="2025-07-30T00:00:00"/>
    <s v="Pneumonia Management"/>
    <s v="Completed"/>
    <n v="64651.88"/>
    <n v="42023.72"/>
    <n v="22628.16"/>
    <s v="Paid"/>
    <n v="7"/>
    <n v="0.64999996906509139"/>
    <n v="0.35000003093490861"/>
  </r>
  <r>
    <n v="10325"/>
    <s v="PAT-1025"/>
    <s v="Ananya Mehta"/>
    <s v="Female"/>
    <n v="23"/>
    <s v="Faridabad"/>
    <s v="DOC-106"/>
    <s v="Dr. Neha Sharma"/>
    <x v="2"/>
    <n v="8"/>
    <d v="2025-06-03T00:00:00"/>
    <d v="2025-06-11T00:00:00"/>
    <s v="Knee Replacement Surgery"/>
    <s v="Completed"/>
    <n v="209766.82"/>
    <n v="130055.43"/>
    <n v="79711.39"/>
    <s v="Paid"/>
    <n v="8"/>
    <n v="0.62000000762751706"/>
    <n v="0.37999999237248294"/>
  </r>
  <r>
    <n v="10326"/>
    <s v="PAT-1048"/>
    <s v="Pooja Verma"/>
    <s v="Female"/>
    <n v="39"/>
    <s v="Pune"/>
    <s v="DOC-107"/>
    <s v="Dr. Meera Nair"/>
    <x v="1"/>
    <n v="9"/>
    <d v="2025-06-13T00:00:00"/>
    <d v="2025-06-21T00:00:00"/>
    <s v="Typhoid &amp; Severe Dehydration"/>
    <s v="Completed"/>
    <n v="18129.52"/>
    <n v="14503.62"/>
    <n v="3625.9"/>
    <s v="Paid"/>
    <n v="8"/>
    <n v="0.8000002206346335"/>
    <n v="0.19999977936536653"/>
  </r>
  <r>
    <n v="10327"/>
    <s v="PAT-1013"/>
    <s v="Neha Nair"/>
    <s v="Female"/>
    <n v="18"/>
    <s v="Faridabad"/>
    <s v="DOC-104"/>
    <s v="Dr. Vikramaditya Rao"/>
    <x v="3"/>
    <n v="18"/>
    <d v="2025-04-08T00:00:00"/>
    <d v="2025-04-20T00:00:00"/>
    <s v="Acute Ischemic Stroke"/>
    <s v="Follow-up"/>
    <n v="152236.54"/>
    <n v="103520.85"/>
    <n v="48715.69"/>
    <s v="Paid"/>
    <n v="12"/>
    <n v="0.68000001839243063"/>
    <n v="0.31999998160756937"/>
  </r>
  <r>
    <n v="10328"/>
    <s v="PAT-1030"/>
    <s v="Aarav Joshi"/>
    <s v="Male"/>
    <n v="68"/>
    <s v="Faridabad"/>
    <s v="DOC-101"/>
    <s v="Dr. Rajesh Khanna"/>
    <x v="0"/>
    <n v="15"/>
    <d v="2025-03-30T00:00:00"/>
    <d v="2025-04-12T00:00:00"/>
    <s v="Heart Failure Management"/>
    <s v="Completed"/>
    <n v="233919.1"/>
    <n v="163743.37"/>
    <n v="70175.73"/>
    <s v="Paid"/>
    <n v="13"/>
    <n v="0.7"/>
    <n v="0.3"/>
  </r>
  <r>
    <n v="10329"/>
    <s v="PAT-1008"/>
    <s v="Priya Rao"/>
    <s v="Female"/>
    <n v="37"/>
    <s v="Ghaziabad"/>
    <s v="DOC-108"/>
    <s v="Dr. Sanjay Gupta"/>
    <x v="1"/>
    <n v="11"/>
    <d v="2025-08-25T00:00:00"/>
    <d v="2025-09-05T00:00:00"/>
    <s v="Pneumonia Management"/>
    <s v="Completed"/>
    <n v="63140.14"/>
    <n v="38515.49"/>
    <n v="24624.65"/>
    <s v="Paid"/>
    <n v="11"/>
    <n v="0.61000007285381375"/>
    <n v="0.38999992714618625"/>
  </r>
  <r>
    <n v="10330"/>
    <s v="PAT-1044"/>
    <s v="Pooja Singh"/>
    <s v="Male"/>
    <n v="67"/>
    <s v="Hyderabad"/>
    <s v="DOC-106"/>
    <s v="Dr. Neha Sharma"/>
    <x v="2"/>
    <n v="8"/>
    <d v="2025-11-29T00:00:00"/>
    <d v="2025-12-05T00:00:00"/>
    <s v="Knee Replacement Surgery"/>
    <s v="Completed"/>
    <n v="270565.01"/>
    <n v="227274.61"/>
    <n v="43290.400000000001"/>
    <s v="Paid"/>
    <n v="6"/>
    <n v="0.84000000591355095"/>
    <n v="0.15999999408644894"/>
  </r>
  <r>
    <n v="10331"/>
    <s v="PAT-1049"/>
    <s v="Pooja Verma"/>
    <s v="Male"/>
    <n v="48"/>
    <s v="Bangalore"/>
    <s v="DOC-106"/>
    <s v="Dr. Neha Sharma"/>
    <x v="2"/>
    <n v="8"/>
    <d v="2025-06-10T00:00:00"/>
    <d v="2025-06-14T00:00:00"/>
    <s v="Cervical Spondylosis"/>
    <s v="Completed"/>
    <n v="54589.18"/>
    <n v="36574.75"/>
    <n v="18014.43"/>
    <s v="Paid"/>
    <n v="4"/>
    <n v="0.66999998900881086"/>
    <n v="0.33000001099118909"/>
  </r>
  <r>
    <n v="10332"/>
    <s v="PAT-1029"/>
    <s v="Amit Rao"/>
    <s v="Female"/>
    <n v="59"/>
    <s v="Jaipur"/>
    <s v="DOC-104"/>
    <s v="Dr. Vikramaditya Rao"/>
    <x v="3"/>
    <n v="18"/>
    <d v="2025-07-28T00:00:00"/>
    <d v="2025-08-11T00:00:00"/>
    <s v="Migraine &amp; Nerve Compression"/>
    <s v="Completed"/>
    <n v="28103.97"/>
    <n v="17705.5"/>
    <n v="10398.469999999999"/>
    <s v="Paid"/>
    <n v="14"/>
    <n v="0.62999996085962229"/>
    <n v="0.37000003914037766"/>
  </r>
  <r>
    <n v="10333"/>
    <s v="PAT-1040"/>
    <s v="Pooja Mehta"/>
    <s v="Male"/>
    <n v="74"/>
    <s v="Bangalore"/>
    <s v="DOC-108"/>
    <s v="Dr. Sanjay Gupta"/>
    <x v="1"/>
    <n v="11"/>
    <d v="2025-10-18T00:00:00"/>
    <d v="2025-10-30T00:00:00"/>
    <s v="Acute Viral Fever &amp; Infection"/>
    <s v="Follow-up"/>
    <n v="11608.13"/>
    <n v="9286.5"/>
    <n v="2321.63"/>
    <s v="Paid"/>
    <n v="12"/>
    <n v="0.79999965541392115"/>
    <n v="0.2000003445860789"/>
  </r>
  <r>
    <n v="10334"/>
    <s v="PAT-1004"/>
    <s v="Neha Patel"/>
    <s v="Male"/>
    <n v="34"/>
    <s v="Ghaziabad"/>
    <s v="DOC-108"/>
    <s v="Dr. Sanjay Gupta"/>
    <x v="1"/>
    <n v="11"/>
    <d v="2025-09-07T00:00:00"/>
    <d v="2025-09-21T00:00:00"/>
    <s v="Typhoid &amp; Severe Dehydration"/>
    <s v="Completed"/>
    <n v="34930.949999999997"/>
    <n v="24102.36"/>
    <n v="10828.59"/>
    <s v="Pending"/>
    <n v="14"/>
    <n v="0.69000012882558315"/>
    <n v="0.30999987117441696"/>
  </r>
  <r>
    <n v="10335"/>
    <s v="PAT-1044"/>
    <s v="Pooja Singh"/>
    <s v="Male"/>
    <n v="67"/>
    <s v="Hyderabad"/>
    <s v="DOC-104"/>
    <s v="Dr. Vikramaditya Rao"/>
    <x v="3"/>
    <n v="18"/>
    <d v="2025-10-25T00:00:00"/>
    <d v="2025-10-28T00:00:00"/>
    <s v="Migraine &amp; Nerve Compression"/>
    <s v="Completed"/>
    <n v="33582.31"/>
    <n v="25186.73"/>
    <n v="8395.58"/>
    <s v="Paid"/>
    <n v="3"/>
    <n v="0.74999992555604422"/>
    <n v="0.25000007444395578"/>
  </r>
  <r>
    <n v="10336"/>
    <s v="PAT-1024"/>
    <s v="Rahul Nair"/>
    <s v="Female"/>
    <n v="47"/>
    <s v="Delhi"/>
    <s v="DOC-104"/>
    <s v="Dr. Vikramaditya Rao"/>
    <x v="3"/>
    <n v="18"/>
    <d v="2025-09-15T00:00:00"/>
    <d v="2025-09-21T00:00:00"/>
    <s v="Acute Ischemic Stroke"/>
    <s v="Completed"/>
    <n v="293891.90000000002"/>
    <n v="238052.44"/>
    <n v="55839.46"/>
    <s v="Paid"/>
    <n v="6"/>
    <n v="0.81000000340261158"/>
    <n v="0.18999999659738834"/>
  </r>
  <r>
    <n v="10337"/>
    <s v="PAT-1043"/>
    <s v="Kavya Kumar"/>
    <s v="Male"/>
    <n v="35"/>
    <s v="Pune"/>
    <s v="DOC-106"/>
    <s v="Dr. Neha Sharma"/>
    <x v="2"/>
    <n v="8"/>
    <d v="2025-05-09T00:00:00"/>
    <d v="2025-05-16T00:00:00"/>
    <s v="Ligament Tear Repair"/>
    <s v="Completed"/>
    <n v="128264.06"/>
    <n v="88502.2"/>
    <n v="39761.86"/>
    <s v="Paid"/>
    <n v="7"/>
    <n v="0.68999998908501725"/>
    <n v="0.31000001091498275"/>
  </r>
  <r>
    <n v="10338"/>
    <s v="PAT-1036"/>
    <s v="Rohan Joshi"/>
    <s v="Male"/>
    <n v="41"/>
    <s v="Delhi"/>
    <s v="DOC-105"/>
    <s v="Dr. Amit Kumar"/>
    <x v="2"/>
    <n v="10"/>
    <d v="2025-12-15T00:00:00"/>
    <d v="2025-12-21T00:00:00"/>
    <s v="Cervical Spondylosis"/>
    <s v="Follow-up"/>
    <n v="33719.65"/>
    <n v="27987.31"/>
    <n v="5732.34"/>
    <s v="Paid"/>
    <n v="6"/>
    <n v="0.83000001482814911"/>
    <n v="0.16999998517185083"/>
  </r>
  <r>
    <n v="10339"/>
    <s v="PAT-1008"/>
    <s v="Priya Rao"/>
    <s v="Female"/>
    <n v="37"/>
    <s v="Ghaziabad"/>
    <s v="DOC-103"/>
    <s v="Dr. Sunita Kapoor"/>
    <x v="3"/>
    <n v="14"/>
    <d v="2025-05-28T00:00:00"/>
    <d v="2025-06-11T00:00:00"/>
    <s v="Migraine &amp; Nerve Compression"/>
    <s v="Completed"/>
    <n v="24606.93"/>
    <n v="15502.37"/>
    <n v="9104.56"/>
    <s v="Paid"/>
    <n v="14"/>
    <n v="0.63000016661972869"/>
    <n v="0.36999983338027131"/>
  </r>
  <r>
    <n v="10340"/>
    <s v="PAT-1024"/>
    <s v="Rahul Nair"/>
    <s v="Female"/>
    <n v="47"/>
    <s v="Delhi"/>
    <s v="DOC-102"/>
    <s v="Dr. Alok Verma"/>
    <x v="0"/>
    <n v="12"/>
    <d v="2025-07-18T00:00:00"/>
    <d v="2025-07-30T00:00:00"/>
    <s v="Heart Failure Management"/>
    <s v="Completed"/>
    <n v="210833.15"/>
    <n v="166558.19"/>
    <n v="44274.96"/>
    <s v="Paid"/>
    <n v="12"/>
    <n v="0.7900000071146307"/>
    <n v="0.2099999928853693"/>
  </r>
  <r>
    <n v="10341"/>
    <s v="PAT-1022"/>
    <s v="Kavya Gupta"/>
    <s v="Male"/>
    <n v="27"/>
    <s v="Faridabad"/>
    <s v="DOC-106"/>
    <s v="Dr. Neha Sharma"/>
    <x v="2"/>
    <n v="8"/>
    <d v="2025-07-21T00:00:00"/>
    <d v="2025-07-23T00:00:00"/>
    <s v="Knee Replacement Surgery"/>
    <s v="Completed"/>
    <n v="309009.95"/>
    <n v="225577.26"/>
    <n v="83432.69"/>
    <s v="Paid"/>
    <n v="2"/>
    <n v="0.72999998867350391"/>
    <n v="0.27000001132649609"/>
  </r>
  <r>
    <n v="10342"/>
    <s v="PAT-1036"/>
    <s v="Rohan Joshi"/>
    <s v="Male"/>
    <n v="41"/>
    <s v="Delhi"/>
    <s v="DOC-103"/>
    <s v="Dr. Sunita Kapoor"/>
    <x v="3"/>
    <n v="14"/>
    <d v="2025-02-03T00:00:00"/>
    <d v="2025-02-05T00:00:00"/>
    <s v="Migraine &amp; Nerve Compression"/>
    <s v="Completed"/>
    <n v="33728.92"/>
    <n v="28669.58"/>
    <n v="5059.34"/>
    <s v="Paid"/>
    <n v="2"/>
    <n v="0.84999994070370477"/>
    <n v="0.15000005929629529"/>
  </r>
  <r>
    <n v="10343"/>
    <s v="PAT-1004"/>
    <s v="Neha Patel"/>
    <s v="Male"/>
    <n v="34"/>
    <s v="Ghaziabad"/>
    <s v="DOC-106"/>
    <s v="Dr. Neha Sharma"/>
    <x v="2"/>
    <n v="8"/>
    <d v="2025-11-01T00:00:00"/>
    <d v="2025-11-11T00:00:00"/>
    <s v="Knee Replacement Surgery"/>
    <s v="Completed"/>
    <n v="324637.08"/>
    <n v="269448.78000000003"/>
    <n v="55188.3"/>
    <s v="Paid"/>
    <n v="10"/>
    <n v="0.83000001108930632"/>
    <n v="0.16999998891069376"/>
  </r>
  <r>
    <n v="10344"/>
    <s v="PAT-1038"/>
    <s v="Rahul Kumar"/>
    <s v="Male"/>
    <n v="26"/>
    <s v="Hyderabad"/>
    <s v="DOC-106"/>
    <s v="Dr. Neha Sharma"/>
    <x v="2"/>
    <n v="8"/>
    <d v="2025-03-14T00:00:00"/>
    <d v="2025-03-24T00:00:00"/>
    <s v="Knee Replacement Surgery"/>
    <s v="Completed"/>
    <n v="302896.53000000003"/>
    <n v="190824.81"/>
    <n v="112071.72"/>
    <s v="Paid"/>
    <n v="10"/>
    <n v="0.62999998712431593"/>
    <n v="0.37000001287568396"/>
  </r>
  <r>
    <n v="10345"/>
    <s v="PAT-1020"/>
    <s v="Ritu Verma"/>
    <s v="Female"/>
    <n v="68"/>
    <s v="Gurgaon"/>
    <s v="DOC-102"/>
    <s v="Dr. Alok Verma"/>
    <x v="0"/>
    <n v="12"/>
    <d v="2025-07-14T00:00:00"/>
    <d v="2025-07-23T00:00:00"/>
    <s v="Hypertension &amp; Arrhythmia"/>
    <s v="Follow-up"/>
    <n v="33327.99"/>
    <n v="23329.59"/>
    <n v="9998.4"/>
    <s v="Paid"/>
    <n v="9"/>
    <n v="0.69999990998557071"/>
    <n v="0.30000009001442934"/>
  </r>
  <r>
    <n v="10346"/>
    <s v="PAT-1025"/>
    <s v="Ananya Mehta"/>
    <s v="Female"/>
    <n v="23"/>
    <s v="Faridabad"/>
    <s v="DOC-101"/>
    <s v="Dr. Rajesh Khanna"/>
    <x v="0"/>
    <n v="15"/>
    <d v="2025-11-11T00:00:00"/>
    <d v="2025-11-14T00:00:00"/>
    <s v="Heart Failure Management"/>
    <s v="Completed"/>
    <n v="111754.94"/>
    <n v="74875.81"/>
    <n v="36879.129999999997"/>
    <s v="Paid"/>
    <n v="3"/>
    <n v="0.67000000178963004"/>
    <n v="0.3299999982103699"/>
  </r>
  <r>
    <n v="10347"/>
    <s v="PAT-1028"/>
    <s v="Vikram Kumar"/>
    <s v="Male"/>
    <n v="18"/>
    <s v="Delhi"/>
    <s v="DOC-101"/>
    <s v="Dr. Rajesh Khanna"/>
    <x v="0"/>
    <n v="15"/>
    <d v="2025-10-24T00:00:00"/>
    <d v="2025-10-31T00:00:00"/>
    <s v="Coronary Artery Disease"/>
    <s v="Completed"/>
    <n v="157495.53"/>
    <n v="124421.47"/>
    <n v="33074.06"/>
    <s v="Pending"/>
    <n v="7"/>
    <n v="0.79000000825420258"/>
    <n v="0.20999999174579748"/>
  </r>
  <r>
    <n v="10348"/>
    <s v="PAT-1028"/>
    <s v="Vikram Kumar"/>
    <s v="Male"/>
    <n v="18"/>
    <s v="Delhi"/>
    <s v="DOC-103"/>
    <s v="Dr. Sunita Kapoor"/>
    <x v="3"/>
    <n v="14"/>
    <d v="2025-08-16T00:00:00"/>
    <d v="2025-08-27T00:00:00"/>
    <s v="Migraine &amp; Nerve Compression"/>
    <s v="Follow-up"/>
    <n v="29930.3"/>
    <n v="20951.21"/>
    <n v="8979.09"/>
    <s v="Pending"/>
    <n v="11"/>
    <n v="0.7"/>
    <n v="0.3"/>
  </r>
  <r>
    <n v="10349"/>
    <s v="PAT-1019"/>
    <s v="Aarav Kapoor"/>
    <s v="Female"/>
    <n v="52"/>
    <s v="Hyderabad"/>
    <s v="DOC-105"/>
    <s v="Dr. Amit Kumar"/>
    <x v="2"/>
    <n v="10"/>
    <d v="2025-02-12T00:00:00"/>
    <d v="2025-02-22T00:00:00"/>
    <s v="Ligament Tear Repair"/>
    <s v="Completed"/>
    <n v="53429.63"/>
    <n v="34194.959999999999"/>
    <n v="19234.669999999998"/>
    <s v="Pending"/>
    <n v="10"/>
    <n v="0.63999994010813854"/>
    <n v="0.36000005989186151"/>
  </r>
  <r>
    <n v="10350"/>
    <s v="PAT-1022"/>
    <s v="Kavya Gupta"/>
    <s v="Male"/>
    <n v="27"/>
    <s v="Faridabad"/>
    <s v="DOC-108"/>
    <s v="Dr. Sanjay Gupta"/>
    <x v="1"/>
    <n v="11"/>
    <d v="2025-05-29T00:00:00"/>
    <d v="2025-06-10T00:00:00"/>
    <s v="Typhoid &amp; Severe Dehydration"/>
    <s v="Follow-up"/>
    <n v="12109.88"/>
    <n v="8234.7199999999993"/>
    <n v="3875.16"/>
    <s v="Paid"/>
    <n v="12"/>
    <n v="0.68000013212352228"/>
    <n v="0.31999986787647772"/>
  </r>
  <r>
    <n v="10351"/>
    <s v="PAT-1040"/>
    <s v="Pooja Mehta"/>
    <s v="Male"/>
    <n v="74"/>
    <s v="Bangalore"/>
    <s v="DOC-106"/>
    <s v="Dr. Neha Sharma"/>
    <x v="2"/>
    <n v="8"/>
    <d v="2025-03-07T00:00:00"/>
    <d v="2025-03-11T00:00:00"/>
    <s v="Cervical Spondylosis"/>
    <s v="Completed"/>
    <n v="51995.51"/>
    <n v="38996.629999999997"/>
    <n v="12998.88"/>
    <s v="Paid"/>
    <n v="4"/>
    <n v="0.74999995191892521"/>
    <n v="0.25000004808107468"/>
  </r>
  <r>
    <n v="10352"/>
    <s v="PAT-1024"/>
    <s v="Rahul Nair"/>
    <s v="Female"/>
    <n v="47"/>
    <s v="Delhi"/>
    <s v="DOC-107"/>
    <s v="Dr. Meera Nair"/>
    <x v="1"/>
    <n v="9"/>
    <d v="2025-06-03T00:00:00"/>
    <d v="2025-06-14T00:00:00"/>
    <s v="Typhoid &amp; Severe Dehydration"/>
    <s v="Completed"/>
    <n v="16156.28"/>
    <n v="13571.28"/>
    <n v="2585"/>
    <s v="Paid"/>
    <n v="11"/>
    <n v="0.84000029709809432"/>
    <n v="0.15999970290190563"/>
  </r>
  <r>
    <n v="10353"/>
    <s v="PAT-1047"/>
    <s v="Aarav Nair"/>
    <s v="Female"/>
    <n v="56"/>
    <s v="Noida"/>
    <s v="DOC-102"/>
    <s v="Dr. Alok Verma"/>
    <x v="0"/>
    <n v="12"/>
    <d v="2025-02-18T00:00:00"/>
    <d v="2025-02-26T00:00:00"/>
    <s v="Coronary Artery Disease"/>
    <s v="Completed"/>
    <n v="335219.78999999998"/>
    <n v="264823.63"/>
    <n v="70396.160000000003"/>
    <s v="Pending"/>
    <n v="8"/>
    <n v="0.78999998776921854"/>
    <n v="0.21000001223078152"/>
  </r>
  <r>
    <n v="10354"/>
    <s v="PAT-1028"/>
    <s v="Vikram Kumar"/>
    <s v="Male"/>
    <n v="18"/>
    <s v="Delhi"/>
    <s v="DOC-101"/>
    <s v="Dr. Rajesh Khanna"/>
    <x v="0"/>
    <n v="15"/>
    <d v="2025-02-07T00:00:00"/>
    <d v="2025-02-12T00:00:00"/>
    <s v="Coronary Artery Disease"/>
    <s v="Completed"/>
    <n v="409988.67"/>
    <n v="278792.3"/>
    <n v="131196.37"/>
    <s v="Paid"/>
    <n v="5"/>
    <n v="0.68000001073200389"/>
    <n v="0.31999998926799611"/>
  </r>
  <r>
    <n v="10355"/>
    <s v="PAT-1014"/>
    <s v="Sneha Gupta"/>
    <s v="Male"/>
    <n v="45"/>
    <s v="Gurgaon"/>
    <s v="DOC-106"/>
    <s v="Dr. Neha Sharma"/>
    <x v="2"/>
    <n v="8"/>
    <d v="2025-05-12T00:00:00"/>
    <d v="2025-05-25T00:00:00"/>
    <s v="Cervical Spondylosis"/>
    <s v="Completed"/>
    <n v="28827.84"/>
    <n v="21332.6"/>
    <n v="7495.24"/>
    <s v="Paid"/>
    <n v="13"/>
    <n v="0.73999994449809625"/>
    <n v="0.26000005550190369"/>
  </r>
  <r>
    <n v="10356"/>
    <s v="PAT-1014"/>
    <s v="Sneha Gupta"/>
    <s v="Male"/>
    <n v="45"/>
    <s v="Gurgaon"/>
    <s v="DOC-106"/>
    <s v="Dr. Neha Sharma"/>
    <x v="2"/>
    <n v="8"/>
    <d v="2025-01-01T00:00:00"/>
    <d v="2025-01-15T00:00:00"/>
    <s v="Knee Replacement Surgery"/>
    <s v="Completed"/>
    <n v="362040.61"/>
    <n v="220844.77"/>
    <n v="141195.84"/>
    <s v="Pending"/>
    <n v="14"/>
    <n v="0.60999999419954576"/>
    <n v="0.3900000058004543"/>
  </r>
  <r>
    <n v="10357"/>
    <s v="PAT-1037"/>
    <s v="Kavya Kumar"/>
    <s v="Male"/>
    <n v="61"/>
    <s v="Mumbai"/>
    <s v="DOC-101"/>
    <s v="Dr. Rajesh Khanna"/>
    <x v="0"/>
    <n v="15"/>
    <d v="2025-08-03T00:00:00"/>
    <d v="2025-08-06T00:00:00"/>
    <s v="Coronary Artery Disease"/>
    <s v="Follow-up"/>
    <n v="131477.31"/>
    <n v="110440.94"/>
    <n v="21036.37"/>
    <s v="Paid"/>
    <n v="3"/>
    <n v="0.83999999695765004"/>
    <n v="0.16000000304235004"/>
  </r>
  <r>
    <n v="10358"/>
    <s v="PAT-1048"/>
    <s v="Pooja Verma"/>
    <s v="Female"/>
    <n v="39"/>
    <s v="Pune"/>
    <s v="DOC-105"/>
    <s v="Dr. Amit Kumar"/>
    <x v="2"/>
    <n v="10"/>
    <d v="2025-07-25T00:00:00"/>
    <d v="2025-08-03T00:00:00"/>
    <s v="Knee Replacement Surgery"/>
    <s v="Follow-up"/>
    <n v="182515.38"/>
    <n v="127760.77"/>
    <n v="54754.61"/>
    <s v="Paid"/>
    <n v="9"/>
    <n v="0.70000002191596122"/>
    <n v="0.29999997808403872"/>
  </r>
  <r>
    <n v="10359"/>
    <s v="PAT-1035"/>
    <s v="Rahul Verma"/>
    <s v="Male"/>
    <n v="27"/>
    <s v="Noida"/>
    <s v="DOC-108"/>
    <s v="Dr. Sanjay Gupta"/>
    <x v="1"/>
    <n v="11"/>
    <d v="2025-11-20T00:00:00"/>
    <d v="2025-11-29T00:00:00"/>
    <s v="Acute Viral Fever &amp; Infection"/>
    <s v="Completed"/>
    <n v="9815.77"/>
    <n v="7067.35"/>
    <n v="2748.42"/>
    <s v="Paid"/>
    <n v="9"/>
    <n v="0.71999955174173802"/>
    <n v="0.28000044825826198"/>
  </r>
  <r>
    <n v="10360"/>
    <s v="PAT-1015"/>
    <s v="Vikram Verma"/>
    <s v="Male"/>
    <n v="43"/>
    <s v="Mumbai"/>
    <s v="DOC-104"/>
    <s v="Dr. Vikramaditya Rao"/>
    <x v="3"/>
    <n v="18"/>
    <d v="2025-10-17T00:00:00"/>
    <d v="2025-10-25T00:00:00"/>
    <s v="Migraine &amp; Nerve Compression"/>
    <s v="Completed"/>
    <n v="20222.849999999999"/>
    <n v="14964.91"/>
    <n v="5257.94"/>
    <s v="Paid"/>
    <n v="8"/>
    <n v="0.74000004944901443"/>
    <n v="0.25999995055098563"/>
  </r>
  <r>
    <n v="10361"/>
    <s v="PAT-1044"/>
    <s v="Pooja Singh"/>
    <s v="Male"/>
    <n v="67"/>
    <s v="Hyderabad"/>
    <s v="DOC-108"/>
    <s v="Dr. Sanjay Gupta"/>
    <x v="1"/>
    <n v="11"/>
    <d v="2025-10-09T00:00:00"/>
    <d v="2025-10-19T00:00:00"/>
    <s v="Pneumonia Management"/>
    <s v="Completed"/>
    <n v="29859.07"/>
    <n v="22394.3"/>
    <n v="7464.77"/>
    <s v="Paid"/>
    <n v="10"/>
    <n v="0.74999991627334672"/>
    <n v="0.25000008372665328"/>
  </r>
  <r>
    <n v="10362"/>
    <s v="PAT-1001"/>
    <s v="Sneha Singh"/>
    <s v="Female"/>
    <n v="47"/>
    <s v="Delhi"/>
    <s v="DOC-105"/>
    <s v="Dr. Amit Kumar"/>
    <x v="2"/>
    <n v="10"/>
    <d v="2025-03-07T00:00:00"/>
    <d v="2025-03-19T00:00:00"/>
    <s v="Ligament Tear Repair"/>
    <s v="Follow-up"/>
    <n v="117945.26"/>
    <n v="74305.509999999995"/>
    <n v="43639.75"/>
    <s v="Paid"/>
    <n v="12"/>
    <n v="0.62999996778166412"/>
    <n v="0.37000003221833588"/>
  </r>
  <r>
    <n v="10363"/>
    <s v="PAT-1031"/>
    <s v="Kavya Kumar"/>
    <s v="Male"/>
    <n v="53"/>
    <s v="Jaipur"/>
    <s v="DOC-102"/>
    <s v="Dr. Alok Verma"/>
    <x v="0"/>
    <n v="12"/>
    <d v="2025-07-04T00:00:00"/>
    <d v="2025-07-15T00:00:00"/>
    <s v="Heart Failure Management"/>
    <s v="Completed"/>
    <n v="109482.64"/>
    <n v="66784.41"/>
    <n v="42698.23"/>
    <s v="Paid"/>
    <n v="11"/>
    <n v="0.60999999634645274"/>
    <n v="0.39000000365354731"/>
  </r>
  <r>
    <n v="10364"/>
    <s v="PAT-1035"/>
    <s v="Rahul Verma"/>
    <s v="Male"/>
    <n v="27"/>
    <s v="Noida"/>
    <s v="DOC-106"/>
    <s v="Dr. Neha Sharma"/>
    <x v="2"/>
    <n v="8"/>
    <d v="2025-06-06T00:00:00"/>
    <d v="2025-06-13T00:00:00"/>
    <s v="Knee Replacement Surgery"/>
    <s v="Completed"/>
    <n v="344532.31"/>
    <n v="206719.39"/>
    <n v="137812.92000000001"/>
    <s v="Paid"/>
    <n v="7"/>
    <n v="0.60000001160994165"/>
    <n v="0.39999998839005846"/>
  </r>
  <r>
    <n v="10365"/>
    <s v="PAT-1048"/>
    <s v="Pooja Verma"/>
    <s v="Female"/>
    <n v="39"/>
    <s v="Pune"/>
    <s v="DOC-108"/>
    <s v="Dr. Sanjay Gupta"/>
    <x v="1"/>
    <n v="11"/>
    <d v="2025-03-17T00:00:00"/>
    <d v="2025-03-22T00:00:00"/>
    <s v="Typhoid &amp; Severe Dehydration"/>
    <s v="Completed"/>
    <n v="13841.4"/>
    <n v="8720.08"/>
    <n v="5121.32"/>
    <s v="Paid"/>
    <n v="5"/>
    <n v="0.62999985550594595"/>
    <n v="0.37000014449405405"/>
  </r>
  <r>
    <n v="10366"/>
    <s v="PAT-1027"/>
    <s v="Siddharth Verma"/>
    <s v="Female"/>
    <n v="33"/>
    <s v="Noida"/>
    <s v="DOC-108"/>
    <s v="Dr. Sanjay Gupta"/>
    <x v="1"/>
    <n v="11"/>
    <d v="2025-01-11T00:00:00"/>
    <d v="2025-01-20T00:00:00"/>
    <s v="Typhoid &amp; Severe Dehydration"/>
    <s v="Completed"/>
    <n v="34030.42"/>
    <n v="24161.599999999999"/>
    <n v="9868.82"/>
    <s v="Paid"/>
    <n v="9"/>
    <n v="0.71000005289385204"/>
    <n v="0.28999994710614796"/>
  </r>
  <r>
    <n v="10367"/>
    <s v="PAT-1004"/>
    <s v="Neha Patel"/>
    <s v="Male"/>
    <n v="34"/>
    <s v="Ghaziabad"/>
    <s v="DOC-107"/>
    <s v="Dr. Meera Nair"/>
    <x v="1"/>
    <n v="9"/>
    <d v="2025-06-29T00:00:00"/>
    <d v="2025-07-07T00:00:00"/>
    <s v="Pneumonia Management"/>
    <s v="Completed"/>
    <n v="73712.13"/>
    <n v="54546.98"/>
    <n v="19165.150000000001"/>
    <s v="Paid"/>
    <n v="8"/>
    <n v="0.74000005155189519"/>
    <n v="0.25999994844810481"/>
  </r>
  <r>
    <n v="10368"/>
    <s v="PAT-1026"/>
    <s v="Manish Gupta"/>
    <s v="Female"/>
    <n v="47"/>
    <s v="Ghaziabad"/>
    <s v="DOC-103"/>
    <s v="Dr. Sunita Kapoor"/>
    <x v="3"/>
    <n v="14"/>
    <d v="2025-12-07T00:00:00"/>
    <d v="2025-12-14T00:00:00"/>
    <s v="Epilepsy Monitoring"/>
    <s v="Completed"/>
    <n v="67973.94"/>
    <n v="48261.5"/>
    <n v="19712.439999999999"/>
    <s v="Paid"/>
    <n v="7"/>
    <n v="0.71000003824995284"/>
    <n v="0.28999996175004711"/>
  </r>
  <r>
    <n v="10369"/>
    <s v="PAT-1048"/>
    <s v="Pooja Verma"/>
    <s v="Female"/>
    <n v="39"/>
    <s v="Pune"/>
    <s v="DOC-106"/>
    <s v="Dr. Neha Sharma"/>
    <x v="2"/>
    <n v="8"/>
    <d v="2025-05-28T00:00:00"/>
    <d v="2025-06-10T00:00:00"/>
    <s v="Knee Replacement Surgery"/>
    <s v="Completed"/>
    <n v="356735.86"/>
    <n v="253282.46"/>
    <n v="103453.4"/>
    <s v="Paid"/>
    <n v="13"/>
    <n v="0.70999999831808336"/>
    <n v="0.2900000016819167"/>
  </r>
  <r>
    <n v="10370"/>
    <s v="PAT-1038"/>
    <s v="Rahul Kumar"/>
    <s v="Male"/>
    <n v="26"/>
    <s v="Hyderabad"/>
    <s v="DOC-102"/>
    <s v="Dr. Alok Verma"/>
    <x v="0"/>
    <n v="12"/>
    <d v="2025-10-10T00:00:00"/>
    <d v="2025-10-18T00:00:00"/>
    <s v="Heart Failure Management"/>
    <s v="Completed"/>
    <n v="169347.84"/>
    <n v="142252.19"/>
    <n v="27095.65"/>
    <s v="Paid"/>
    <n v="8"/>
    <n v="0.84000002598202617"/>
    <n v="0.15999997401797392"/>
  </r>
  <r>
    <n v="10371"/>
    <s v="PAT-1018"/>
    <s v="Pooja Saxena"/>
    <s v="Male"/>
    <n v="23"/>
    <s v="Noida"/>
    <s v="DOC-101"/>
    <s v="Dr. Rajesh Khanna"/>
    <x v="0"/>
    <n v="15"/>
    <d v="2025-01-09T00:00:00"/>
    <d v="2025-01-15T00:00:00"/>
    <s v="Hypertension &amp; Arrhythmia"/>
    <s v="Follow-up"/>
    <n v="70954.34"/>
    <n v="49668.04"/>
    <n v="21286.3"/>
    <s v="Paid"/>
    <n v="6"/>
    <n v="0.70000002818714124"/>
    <n v="0.29999997181285881"/>
  </r>
  <r>
    <n v="10372"/>
    <s v="PAT-1020"/>
    <s v="Ritu Verma"/>
    <s v="Female"/>
    <n v="68"/>
    <s v="Gurgaon"/>
    <s v="DOC-105"/>
    <s v="Dr. Amit Kumar"/>
    <x v="2"/>
    <n v="10"/>
    <d v="2025-04-24T00:00:00"/>
    <d v="2025-04-29T00:00:00"/>
    <s v="Ligament Tear Repair"/>
    <s v="Follow-up"/>
    <n v="96381.07"/>
    <n v="75177.23"/>
    <n v="21203.84"/>
    <s v="Paid"/>
    <n v="5"/>
    <n v="0.7799999522727854"/>
    <n v="0.22000004772721446"/>
  </r>
  <r>
    <n v="10373"/>
    <s v="PAT-1006"/>
    <s v="Neha Singh"/>
    <s v="Female"/>
    <n v="68"/>
    <s v="Mumbai"/>
    <s v="DOC-106"/>
    <s v="Dr. Neha Sharma"/>
    <x v="2"/>
    <n v="8"/>
    <d v="2025-04-15T00:00:00"/>
    <d v="2025-04-26T00:00:00"/>
    <s v="Ligament Tear Repair"/>
    <s v="Completed"/>
    <n v="84186.33"/>
    <n v="64823.47"/>
    <n v="19362.86"/>
    <s v="Paid"/>
    <n v="11"/>
    <n v="0.76999995129850651"/>
    <n v="0.23000004870149346"/>
  </r>
  <r>
    <n v="10374"/>
    <s v="PAT-1050"/>
    <s v="Priya Mehta"/>
    <s v="Male"/>
    <n v="33"/>
    <s v="Mumbai"/>
    <s v="DOC-106"/>
    <s v="Dr. Neha Sharma"/>
    <x v="2"/>
    <n v="8"/>
    <d v="2025-08-06T00:00:00"/>
    <d v="2025-08-16T00:00:00"/>
    <s v="Cervical Spondylosis"/>
    <s v="Completed"/>
    <n v="28665.93"/>
    <n v="17486.22"/>
    <n v="11179.71"/>
    <s v="Paid"/>
    <n v="10"/>
    <n v="0.61000009418846701"/>
    <n v="0.38999990581153304"/>
  </r>
  <r>
    <n v="10375"/>
    <s v="PAT-1015"/>
    <s v="Vikram Verma"/>
    <s v="Male"/>
    <n v="43"/>
    <s v="Mumbai"/>
    <s v="DOC-101"/>
    <s v="Dr. Rajesh Khanna"/>
    <x v="0"/>
    <n v="15"/>
    <d v="2025-05-26T00:00:00"/>
    <d v="2025-05-28T00:00:00"/>
    <s v="Hypertension &amp; Arrhythmia"/>
    <s v="Completed"/>
    <n v="79743.649999999994"/>
    <n v="49441.06"/>
    <n v="30302.59"/>
    <s v="Paid"/>
    <n v="2"/>
    <n v="0.61999996237944965"/>
    <n v="0.3800000376205504"/>
  </r>
  <r>
    <n v="10376"/>
    <s v="PAT-1027"/>
    <s v="Siddharth Verma"/>
    <s v="Female"/>
    <n v="33"/>
    <s v="Noida"/>
    <s v="DOC-107"/>
    <s v="Dr. Meera Nair"/>
    <x v="1"/>
    <n v="9"/>
    <d v="2025-06-06T00:00:00"/>
    <d v="2025-06-13T00:00:00"/>
    <s v="Acute Viral Fever &amp; Infection"/>
    <s v="Completed"/>
    <n v="23919.63"/>
    <n v="15786.96"/>
    <n v="8132.67"/>
    <s v="Paid"/>
    <n v="7"/>
    <n v="0.66000017558800028"/>
    <n v="0.33999982441199966"/>
  </r>
  <r>
    <n v="10377"/>
    <s v="PAT-1026"/>
    <s v="Manish Gupta"/>
    <s v="Female"/>
    <n v="47"/>
    <s v="Ghaziabad"/>
    <s v="DOC-107"/>
    <s v="Dr. Meera Nair"/>
    <x v="1"/>
    <n v="9"/>
    <d v="2025-07-30T00:00:00"/>
    <d v="2025-08-09T00:00:00"/>
    <s v="Pneumonia Management"/>
    <s v="Follow-up"/>
    <n v="37435.67"/>
    <n v="31445.96"/>
    <n v="5989.71"/>
    <s v="Paid"/>
    <n v="10"/>
    <n v="0.83999992520502509"/>
    <n v="0.16000007479497497"/>
  </r>
  <r>
    <n v="10378"/>
    <s v="PAT-1038"/>
    <s v="Rahul Kumar"/>
    <s v="Male"/>
    <n v="26"/>
    <s v="Hyderabad"/>
    <s v="DOC-104"/>
    <s v="Dr. Vikramaditya Rao"/>
    <x v="3"/>
    <n v="18"/>
    <d v="2025-07-23T00:00:00"/>
    <d v="2025-08-02T00:00:00"/>
    <s v="Acute Ischemic Stroke"/>
    <s v="Completed"/>
    <n v="123963.22"/>
    <n v="79336.460000000006"/>
    <n v="44626.76"/>
    <s v="Paid"/>
    <n v="10"/>
    <n v="0.63999999354647297"/>
    <n v="0.36000000645352709"/>
  </r>
  <r>
    <n v="10379"/>
    <s v="PAT-1006"/>
    <s v="Neha Singh"/>
    <s v="Female"/>
    <n v="68"/>
    <s v="Mumbai"/>
    <s v="DOC-102"/>
    <s v="Dr. Alok Verma"/>
    <x v="0"/>
    <n v="12"/>
    <d v="2025-06-13T00:00:00"/>
    <d v="2025-06-22T00:00:00"/>
    <s v="Coronary Artery Disease"/>
    <s v="Completed"/>
    <n v="344431.32"/>
    <n v="230768.98"/>
    <n v="113662.34"/>
    <s v="Pending"/>
    <n v="9"/>
    <n v="0.66999998722531973"/>
    <n v="0.33000001277468027"/>
  </r>
  <r>
    <n v="10380"/>
    <s v="PAT-1018"/>
    <s v="Pooja Saxena"/>
    <s v="Male"/>
    <n v="23"/>
    <s v="Noida"/>
    <s v="DOC-104"/>
    <s v="Dr. Vikramaditya Rao"/>
    <x v="3"/>
    <n v="18"/>
    <d v="2025-10-30T00:00:00"/>
    <d v="2025-11-10T00:00:00"/>
    <s v="Acute Ischemic Stroke"/>
    <s v="Completed"/>
    <n v="200793.18"/>
    <n v="160634.54"/>
    <n v="40158.639999999999"/>
    <s v="Paid"/>
    <n v="11"/>
    <n v="0.79999998007900475"/>
    <n v="0.20000001992099534"/>
  </r>
  <r>
    <n v="10381"/>
    <s v="PAT-1022"/>
    <s v="Kavya Gupta"/>
    <s v="Male"/>
    <n v="27"/>
    <s v="Faridabad"/>
    <s v="DOC-107"/>
    <s v="Dr. Meera Nair"/>
    <x v="1"/>
    <n v="9"/>
    <d v="2025-04-20T00:00:00"/>
    <d v="2025-04-23T00:00:00"/>
    <s v="Acute Viral Fever &amp; Infection"/>
    <s v="Completed"/>
    <n v="14614.88"/>
    <n v="11399.61"/>
    <n v="3215.27"/>
    <s v="Pending"/>
    <n v="3"/>
    <n v="0.78000024632429421"/>
    <n v="0.21999975367570587"/>
  </r>
  <r>
    <n v="10382"/>
    <s v="PAT-1035"/>
    <s v="Rahul Verma"/>
    <s v="Male"/>
    <n v="27"/>
    <s v="Noida"/>
    <s v="DOC-106"/>
    <s v="Dr. Neha Sharma"/>
    <x v="2"/>
    <n v="8"/>
    <d v="2025-03-13T00:00:00"/>
    <d v="2025-03-21T00:00:00"/>
    <s v="Knee Replacement Surgery"/>
    <s v="Completed"/>
    <n v="378353.64"/>
    <n v="272414.62"/>
    <n v="105939.02"/>
    <s v="Paid"/>
    <n v="8"/>
    <n v="0.719999997885576"/>
    <n v="0.28000000211442394"/>
  </r>
  <r>
    <n v="10383"/>
    <s v="PAT-1010"/>
    <s v="Siddharth Rao"/>
    <s v="Male"/>
    <n v="45"/>
    <s v="Noida"/>
    <s v="DOC-107"/>
    <s v="Dr. Meera Nair"/>
    <x v="1"/>
    <n v="9"/>
    <d v="2025-07-12T00:00:00"/>
    <d v="2025-07-17T00:00:00"/>
    <s v="Acute Viral Fever &amp; Infection"/>
    <s v="Completed"/>
    <n v="10855.7"/>
    <n v="8576"/>
    <n v="2279.6999999999998"/>
    <s v="Paid"/>
    <n v="5"/>
    <n v="0.78999972364748472"/>
    <n v="0.21000027635251522"/>
  </r>
  <r>
    <n v="10384"/>
    <s v="PAT-1002"/>
    <s v="Amit Saxena"/>
    <s v="Male"/>
    <n v="56"/>
    <s v="Ghaziabad"/>
    <s v="DOC-105"/>
    <s v="Dr. Amit Kumar"/>
    <x v="2"/>
    <n v="10"/>
    <d v="2025-04-23T00:00:00"/>
    <d v="2025-05-07T00:00:00"/>
    <s v="Knee Replacement Surgery"/>
    <s v="Completed"/>
    <n v="162925.70000000001"/>
    <n v="125452.79"/>
    <n v="37472.910000000003"/>
    <s v="Paid"/>
    <n v="14"/>
    <n v="0.77000000613776698"/>
    <n v="0.22999999386223291"/>
  </r>
  <r>
    <n v="10385"/>
    <s v="PAT-1014"/>
    <s v="Sneha Gupta"/>
    <s v="Male"/>
    <n v="45"/>
    <s v="Gurgaon"/>
    <s v="DOC-106"/>
    <s v="Dr. Neha Sharma"/>
    <x v="2"/>
    <n v="8"/>
    <d v="2025-06-11T00:00:00"/>
    <d v="2025-06-23T00:00:00"/>
    <s v="Cervical Spondylosis"/>
    <s v="Completed"/>
    <n v="64792.36"/>
    <n v="40819.19"/>
    <n v="23973.17"/>
    <s v="Paid"/>
    <n v="12"/>
    <n v="0.63000004938853904"/>
    <n v="0.36999995061146096"/>
  </r>
  <r>
    <n v="10386"/>
    <s v="PAT-1001"/>
    <s v="Sneha Singh"/>
    <s v="Female"/>
    <n v="47"/>
    <s v="Delhi"/>
    <s v="DOC-107"/>
    <s v="Dr. Meera Nair"/>
    <x v="1"/>
    <n v="9"/>
    <d v="2025-10-25T00:00:00"/>
    <d v="2025-11-04T00:00:00"/>
    <s v="Pneumonia Management"/>
    <s v="Follow-up"/>
    <n v="73007.759999999995"/>
    <n v="62056.6"/>
    <n v="10951.16"/>
    <s v="Paid"/>
    <n v="10"/>
    <n v="0.85000005478869645"/>
    <n v="0.14999994521130358"/>
  </r>
  <r>
    <n v="10387"/>
    <s v="PAT-1018"/>
    <s v="Pooja Saxena"/>
    <s v="Male"/>
    <n v="23"/>
    <s v="Noida"/>
    <s v="DOC-101"/>
    <s v="Dr. Rajesh Khanna"/>
    <x v="0"/>
    <n v="15"/>
    <d v="2025-03-19T00:00:00"/>
    <d v="2025-03-30T00:00:00"/>
    <s v="Hypertension &amp; Arrhythmia"/>
    <s v="Completed"/>
    <n v="31863"/>
    <n v="21029.58"/>
    <n v="10833.42"/>
    <s v="Paid"/>
    <n v="11"/>
    <n v="0.66"/>
    <n v="0.34"/>
  </r>
  <r>
    <n v="10388"/>
    <s v="PAT-1049"/>
    <s v="Pooja Verma"/>
    <s v="Male"/>
    <n v="48"/>
    <s v="Bangalore"/>
    <s v="DOC-105"/>
    <s v="Dr. Amit Kumar"/>
    <x v="2"/>
    <n v="10"/>
    <d v="2025-05-05T00:00:00"/>
    <d v="2025-05-11T00:00:00"/>
    <s v="Knee Replacement Surgery"/>
    <s v="Follow-up"/>
    <n v="251038.21"/>
    <n v="178237.13"/>
    <n v="72801.08"/>
    <s v="Paid"/>
    <n v="6"/>
    <n v="0.71000000358511162"/>
    <n v="0.28999999641488838"/>
  </r>
  <r>
    <n v="10389"/>
    <s v="PAT-1028"/>
    <s v="Vikram Kumar"/>
    <s v="Male"/>
    <n v="18"/>
    <s v="Delhi"/>
    <s v="DOC-102"/>
    <s v="Dr. Alok Verma"/>
    <x v="0"/>
    <n v="12"/>
    <d v="2025-04-25T00:00:00"/>
    <d v="2025-04-30T00:00:00"/>
    <s v="Coronary Artery Disease"/>
    <s v="Follow-up"/>
    <n v="160999.88"/>
    <n v="107869.92"/>
    <n v="53129.96"/>
    <s v="Pending"/>
    <n v="5"/>
    <n v="0.67000000248447389"/>
    <n v="0.32999999751552611"/>
  </r>
  <r>
    <n v="10390"/>
    <s v="PAT-1012"/>
    <s v="Ananya Saxena"/>
    <s v="Male"/>
    <n v="40"/>
    <s v="Delhi"/>
    <s v="DOC-104"/>
    <s v="Dr. Vikramaditya Rao"/>
    <x v="3"/>
    <n v="18"/>
    <d v="2025-04-29T00:00:00"/>
    <d v="2025-05-11T00:00:00"/>
    <s v="Migraine &amp; Nerve Compression"/>
    <s v="Follow-up"/>
    <n v="19770.87"/>
    <n v="14630.44"/>
    <n v="5140.43"/>
    <s v="Paid"/>
    <n v="12"/>
    <n v="0.73999980779803831"/>
    <n v="0.2600001922019618"/>
  </r>
  <r>
    <n v="10391"/>
    <s v="PAT-1041"/>
    <s v="Ananya Patel"/>
    <s v="Female"/>
    <n v="66"/>
    <s v="Delhi"/>
    <s v="DOC-106"/>
    <s v="Dr. Neha Sharma"/>
    <x v="2"/>
    <n v="8"/>
    <d v="2025-03-17T00:00:00"/>
    <d v="2025-03-22T00:00:00"/>
    <s v="Ligament Tear Repair"/>
    <s v="Completed"/>
    <n v="112534.34"/>
    <n v="83275.41"/>
    <n v="29258.93"/>
    <s v="Paid"/>
    <n v="5"/>
    <n v="0.73999998578211779"/>
    <n v="0.26000001421788232"/>
  </r>
  <r>
    <n v="10392"/>
    <s v="PAT-1019"/>
    <s v="Aarav Kapoor"/>
    <s v="Female"/>
    <n v="52"/>
    <s v="Hyderabad"/>
    <s v="DOC-105"/>
    <s v="Dr. Amit Kumar"/>
    <x v="2"/>
    <n v="10"/>
    <d v="2025-02-05T00:00:00"/>
    <d v="2025-02-17T00:00:00"/>
    <s v="Knee Replacement Surgery"/>
    <s v="Completed"/>
    <n v="183678.78"/>
    <n v="123064.78"/>
    <n v="60614"/>
    <s v="Paid"/>
    <n v="12"/>
    <n v="0.66999998584485376"/>
    <n v="0.33000001415514629"/>
  </r>
  <r>
    <n v="10393"/>
    <s v="PAT-1035"/>
    <s v="Rahul Verma"/>
    <s v="Male"/>
    <n v="27"/>
    <s v="Noida"/>
    <s v="DOC-104"/>
    <s v="Dr. Vikramaditya Rao"/>
    <x v="3"/>
    <n v="18"/>
    <d v="2025-02-18T00:00:00"/>
    <d v="2025-02-21T00:00:00"/>
    <s v="Acute Ischemic Stroke"/>
    <s v="Completed"/>
    <n v="209750.86"/>
    <n v="178288.23"/>
    <n v="31462.63"/>
    <s v="Paid"/>
    <n v="3"/>
    <n v="0.84999999523243919"/>
    <n v="0.15000000476756092"/>
  </r>
  <r>
    <n v="10394"/>
    <s v="PAT-1025"/>
    <s v="Ananya Mehta"/>
    <s v="Female"/>
    <n v="23"/>
    <s v="Faridabad"/>
    <s v="DOC-101"/>
    <s v="Dr. Rajesh Khanna"/>
    <x v="0"/>
    <n v="15"/>
    <d v="2025-03-11T00:00:00"/>
    <d v="2025-03-17T00:00:00"/>
    <s v="Hypertension &amp; Arrhythmia"/>
    <s v="Follow-up"/>
    <n v="57642.17"/>
    <n v="41502.36"/>
    <n v="16139.81"/>
    <s v="Paid"/>
    <n v="6"/>
    <n v="0.71999995836381592"/>
    <n v="0.28000004163618408"/>
  </r>
  <r>
    <n v="10395"/>
    <s v="PAT-1037"/>
    <s v="Kavya Kumar"/>
    <s v="Male"/>
    <n v="61"/>
    <s v="Mumbai"/>
    <s v="DOC-107"/>
    <s v="Dr. Meera Nair"/>
    <x v="1"/>
    <n v="9"/>
    <d v="2025-01-14T00:00:00"/>
    <d v="2025-01-25T00:00:00"/>
    <s v="Pneumonia Management"/>
    <s v="Completed"/>
    <n v="48138.42"/>
    <n v="31771.360000000001"/>
    <n v="16367.06"/>
    <s v="Pending"/>
    <n v="11"/>
    <n v="0.66000005816559837"/>
    <n v="0.33999994183440169"/>
  </r>
  <r>
    <n v="10396"/>
    <s v="PAT-1010"/>
    <s v="Siddharth Rao"/>
    <s v="Male"/>
    <n v="45"/>
    <s v="Noida"/>
    <s v="DOC-102"/>
    <s v="Dr. Alok Verma"/>
    <x v="0"/>
    <n v="12"/>
    <d v="2025-11-18T00:00:00"/>
    <d v="2025-11-21T00:00:00"/>
    <s v="Coronary Artery Disease"/>
    <s v="Completed"/>
    <n v="172767.38"/>
    <n v="117481.82"/>
    <n v="55285.56"/>
    <s v="Paid"/>
    <n v="3"/>
    <n v="0.68000000926100757"/>
    <n v="0.31999999073899249"/>
  </r>
  <r>
    <n v="10397"/>
    <s v="PAT-1036"/>
    <s v="Rohan Joshi"/>
    <s v="Male"/>
    <n v="41"/>
    <s v="Delhi"/>
    <s v="DOC-102"/>
    <s v="Dr. Alok Verma"/>
    <x v="0"/>
    <n v="12"/>
    <d v="2025-08-13T00:00:00"/>
    <d v="2025-08-27T00:00:00"/>
    <s v="Heart Failure Management"/>
    <s v="Completed"/>
    <n v="132518.76999999999"/>
    <n v="83486.83"/>
    <n v="49031.94"/>
    <s v="Paid"/>
    <n v="14"/>
    <n v="0.63000003697589413"/>
    <n v="0.36999996302410598"/>
  </r>
  <r>
    <n v="10398"/>
    <s v="PAT-1005"/>
    <s v="Rohan Verma"/>
    <s v="Female"/>
    <n v="67"/>
    <s v="Pune"/>
    <s v="DOC-103"/>
    <s v="Dr. Sunita Kapoor"/>
    <x v="3"/>
    <n v="14"/>
    <d v="2025-03-23T00:00:00"/>
    <d v="2025-04-06T00:00:00"/>
    <s v="Migraine &amp; Nerve Compression"/>
    <s v="Completed"/>
    <n v="36774.639999999999"/>
    <n v="29419.71"/>
    <n v="7354.93"/>
    <s v="Paid"/>
    <n v="14"/>
    <n v="0.79999994561469534"/>
    <n v="0.20000005438530466"/>
  </r>
  <r>
    <n v="10399"/>
    <s v="PAT-1014"/>
    <s v="Sneha Gupta"/>
    <s v="Male"/>
    <n v="45"/>
    <s v="Gurgaon"/>
    <s v="DOC-106"/>
    <s v="Dr. Neha Sharma"/>
    <x v="2"/>
    <n v="8"/>
    <d v="2025-08-07T00:00:00"/>
    <d v="2025-08-16T00:00:00"/>
    <s v="Ligament Tear Repair"/>
    <s v="Completed"/>
    <n v="72547.399999999994"/>
    <n v="56586.97"/>
    <n v="15960.43"/>
    <s v="Paid"/>
    <n v="9"/>
    <n v="0.77999997243181707"/>
    <n v="0.22000002756818304"/>
  </r>
  <r>
    <n v="10400"/>
    <s v="PAT-1043"/>
    <s v="Kavya Kumar"/>
    <s v="Male"/>
    <n v="35"/>
    <s v="Pune"/>
    <s v="DOC-108"/>
    <s v="Dr. Sanjay Gupta"/>
    <x v="1"/>
    <n v="11"/>
    <d v="2025-02-10T00:00:00"/>
    <d v="2025-02-22T00:00:00"/>
    <s v="Typhoid &amp; Severe Dehydration"/>
    <s v="Completed"/>
    <n v="26499.97"/>
    <n v="19079.98"/>
    <n v="7419.99"/>
    <s v="Pending"/>
    <n v="12"/>
    <n v="0.72000006037742681"/>
    <n v="0.27999993962257314"/>
  </r>
  <r>
    <n v="10401"/>
    <s v="PAT-1031"/>
    <s v="Kavya Kumar"/>
    <s v="Male"/>
    <n v="53"/>
    <s v="Jaipur"/>
    <s v="DOC-108"/>
    <s v="Dr. Sanjay Gupta"/>
    <x v="1"/>
    <n v="11"/>
    <d v="2025-03-24T00:00:00"/>
    <d v="2025-04-06T00:00:00"/>
    <s v="Pneumonia Management"/>
    <s v="Completed"/>
    <n v="61535.93"/>
    <n v="39998.35"/>
    <n v="21537.58"/>
    <s v="Paid"/>
    <n v="13"/>
    <n v="0.64999992687199171"/>
    <n v="0.35000007312800835"/>
  </r>
  <r>
    <n v="10402"/>
    <s v="PAT-1027"/>
    <s v="Siddharth Verma"/>
    <s v="Female"/>
    <n v="33"/>
    <s v="Noida"/>
    <s v="DOC-102"/>
    <s v="Dr. Alok Verma"/>
    <x v="0"/>
    <n v="12"/>
    <d v="2025-02-03T00:00:00"/>
    <d v="2025-02-14T00:00:00"/>
    <s v="Heart Failure Management"/>
    <s v="Completed"/>
    <n v="173502.06"/>
    <n v="140536.67000000001"/>
    <n v="32965.39"/>
    <s v="Pending"/>
    <n v="11"/>
    <n v="0.81000000806906858"/>
    <n v="0.18999999193093153"/>
  </r>
  <r>
    <n v="10403"/>
    <s v="PAT-1031"/>
    <s v="Kavya Kumar"/>
    <s v="Male"/>
    <n v="53"/>
    <s v="Jaipur"/>
    <s v="DOC-102"/>
    <s v="Dr. Alok Verma"/>
    <x v="0"/>
    <n v="12"/>
    <d v="2025-10-03T00:00:00"/>
    <d v="2025-10-09T00:00:00"/>
    <s v="Hypertension &amp; Arrhythmia"/>
    <s v="Completed"/>
    <n v="84069.71"/>
    <n v="63052.28"/>
    <n v="21017.43"/>
    <s v="Paid"/>
    <n v="6"/>
    <n v="0.74999997026277354"/>
    <n v="0.2500000297372264"/>
  </r>
  <r>
    <n v="10404"/>
    <s v="PAT-1029"/>
    <s v="Amit Rao"/>
    <s v="Female"/>
    <n v="59"/>
    <s v="Jaipur"/>
    <s v="DOC-106"/>
    <s v="Dr. Neha Sharma"/>
    <x v="2"/>
    <n v="8"/>
    <d v="2025-08-31T00:00:00"/>
    <d v="2025-09-11T00:00:00"/>
    <s v="Ligament Tear Repair"/>
    <s v="Follow-up"/>
    <n v="87413.01"/>
    <n v="57692.59"/>
    <n v="29720.42"/>
    <s v="Pending"/>
    <n v="11"/>
    <n v="0.66000003889581194"/>
    <n v="0.33999996110418806"/>
  </r>
  <r>
    <n v="10405"/>
    <s v="PAT-1031"/>
    <s v="Kavya Kumar"/>
    <s v="Male"/>
    <n v="53"/>
    <s v="Jaipur"/>
    <s v="DOC-103"/>
    <s v="Dr. Sunita Kapoor"/>
    <x v="3"/>
    <n v="14"/>
    <d v="2025-02-23T00:00:00"/>
    <d v="2025-03-07T00:00:00"/>
    <s v="Epilepsy Monitoring"/>
    <s v="Completed"/>
    <n v="77123.789999999994"/>
    <n v="57071.6"/>
    <n v="20052.189999999999"/>
    <s v="Pending"/>
    <n v="12"/>
    <n v="0.73999994035562833"/>
    <n v="0.26000005964437173"/>
  </r>
  <r>
    <n v="10406"/>
    <s v="PAT-1003"/>
    <s v="Manish Mehta"/>
    <s v="Female"/>
    <n v="62"/>
    <s v="Ghaziabad"/>
    <s v="DOC-106"/>
    <s v="Dr. Neha Sharma"/>
    <x v="2"/>
    <n v="8"/>
    <d v="2025-10-19T00:00:00"/>
    <d v="2025-11-01T00:00:00"/>
    <s v="Knee Replacement Surgery"/>
    <s v="Completed"/>
    <n v="161758.18"/>
    <n v="126171.38"/>
    <n v="35586.800000000003"/>
    <s v="Paid"/>
    <n v="13"/>
    <n v="0.77999999752717308"/>
    <n v="0.22000000247282706"/>
  </r>
  <r>
    <n v="10407"/>
    <s v="PAT-1038"/>
    <s v="Rahul Kumar"/>
    <s v="Male"/>
    <n v="26"/>
    <s v="Hyderabad"/>
    <s v="DOC-108"/>
    <s v="Dr. Sanjay Gupta"/>
    <x v="1"/>
    <n v="11"/>
    <d v="2025-02-13T00:00:00"/>
    <d v="2025-02-17T00:00:00"/>
    <s v="Pneumonia Management"/>
    <s v="Follow-up"/>
    <n v="74431.5"/>
    <n v="57312.26"/>
    <n v="17119.240000000002"/>
    <s v="Pending"/>
    <n v="4"/>
    <n v="0.77000006717585967"/>
    <n v="0.22999993282414033"/>
  </r>
  <r>
    <n v="10408"/>
    <s v="PAT-1036"/>
    <s v="Rohan Joshi"/>
    <s v="Male"/>
    <n v="41"/>
    <s v="Delhi"/>
    <s v="DOC-104"/>
    <s v="Dr. Vikramaditya Rao"/>
    <x v="3"/>
    <n v="18"/>
    <d v="2025-09-05T00:00:00"/>
    <d v="2025-09-15T00:00:00"/>
    <s v="Migraine &amp; Nerve Compression"/>
    <s v="Follow-up"/>
    <n v="44540.7"/>
    <n v="30733.08"/>
    <n v="13807.62"/>
    <s v="Paid"/>
    <n v="10"/>
    <n v="0.68999993264587234"/>
    <n v="0.31000006735412783"/>
  </r>
  <r>
    <n v="10409"/>
    <s v="PAT-1043"/>
    <s v="Kavya Kumar"/>
    <s v="Male"/>
    <n v="35"/>
    <s v="Pune"/>
    <s v="DOC-103"/>
    <s v="Dr. Sunita Kapoor"/>
    <x v="3"/>
    <n v="14"/>
    <d v="2025-04-05T00:00:00"/>
    <d v="2025-04-16T00:00:00"/>
    <s v="Epilepsy Monitoring"/>
    <s v="Completed"/>
    <n v="54917.37"/>
    <n v="37343.81"/>
    <n v="17573.560000000001"/>
    <s v="Paid"/>
    <n v="11"/>
    <n v="0.67999997086531994"/>
    <n v="0.32000002913468001"/>
  </r>
  <r>
    <n v="10410"/>
    <s v="PAT-1031"/>
    <s v="Kavya Kumar"/>
    <s v="Male"/>
    <n v="53"/>
    <s v="Jaipur"/>
    <s v="DOC-107"/>
    <s v="Dr. Meera Nair"/>
    <x v="1"/>
    <n v="9"/>
    <d v="2025-10-15T00:00:00"/>
    <d v="2025-10-17T00:00:00"/>
    <s v="Typhoid &amp; Severe Dehydration"/>
    <s v="Completed"/>
    <n v="24403.98"/>
    <n v="16838.75"/>
    <n v="7565.23"/>
    <s v="Pending"/>
    <n v="2"/>
    <n v="0.690000155712306"/>
    <n v="0.30999984428769406"/>
  </r>
  <r>
    <n v="10411"/>
    <s v="PAT-1031"/>
    <s v="Kavya Kumar"/>
    <s v="Male"/>
    <n v="53"/>
    <s v="Jaipur"/>
    <s v="DOC-104"/>
    <s v="Dr. Vikramaditya Rao"/>
    <x v="3"/>
    <n v="18"/>
    <d v="2025-11-11T00:00:00"/>
    <d v="2025-11-21T00:00:00"/>
    <s v="Migraine &amp; Nerve Compression"/>
    <s v="Completed"/>
    <n v="36296.68"/>
    <n v="27948.44"/>
    <n v="8348.24"/>
    <s v="Paid"/>
    <n v="10"/>
    <n v="0.76999990081737502"/>
    <n v="0.23000009918262496"/>
  </r>
  <r>
    <n v="10412"/>
    <s v="PAT-1019"/>
    <s v="Aarav Kapoor"/>
    <s v="Female"/>
    <n v="52"/>
    <s v="Hyderabad"/>
    <s v="DOC-107"/>
    <s v="Dr. Meera Nair"/>
    <x v="1"/>
    <n v="9"/>
    <d v="2025-02-14T00:00:00"/>
    <d v="2025-02-21T00:00:00"/>
    <s v="Pneumonia Management"/>
    <s v="Follow-up"/>
    <n v="44261.87"/>
    <n v="30983.31"/>
    <n v="13278.56"/>
    <s v="Paid"/>
    <n v="7"/>
    <n v="0.70000002259280958"/>
    <n v="0.29999997740719042"/>
  </r>
  <r>
    <n v="10413"/>
    <s v="PAT-1005"/>
    <s v="Rohan Verma"/>
    <s v="Female"/>
    <n v="67"/>
    <s v="Pune"/>
    <s v="DOC-103"/>
    <s v="Dr. Sunita Kapoor"/>
    <x v="3"/>
    <n v="14"/>
    <d v="2025-04-25T00:00:00"/>
    <d v="2025-05-02T00:00:00"/>
    <s v="Migraine &amp; Nerve Compression"/>
    <s v="Completed"/>
    <n v="15767.58"/>
    <n v="11983.36"/>
    <n v="3784.22"/>
    <s v="Paid"/>
    <n v="7"/>
    <n v="0.75999994926298142"/>
    <n v="0.24000005073701861"/>
  </r>
  <r>
    <n v="10414"/>
    <s v="PAT-1015"/>
    <s v="Vikram Verma"/>
    <s v="Male"/>
    <n v="43"/>
    <s v="Mumbai"/>
    <s v="DOC-106"/>
    <s v="Dr. Neha Sharma"/>
    <x v="2"/>
    <n v="8"/>
    <d v="2025-11-17T00:00:00"/>
    <d v="2025-11-26T00:00:00"/>
    <s v="Ligament Tear Repair"/>
    <s v="Completed"/>
    <n v="94683.93"/>
    <n v="70066.11"/>
    <n v="24617.82"/>
    <s v="Paid"/>
    <n v="9"/>
    <n v="0.74000001901061785"/>
    <n v="0.25999998098938226"/>
  </r>
  <r>
    <n v="10415"/>
    <s v="PAT-1015"/>
    <s v="Vikram Verma"/>
    <s v="Male"/>
    <n v="43"/>
    <s v="Mumbai"/>
    <s v="DOC-107"/>
    <s v="Dr. Meera Nair"/>
    <x v="1"/>
    <n v="9"/>
    <d v="2025-09-24T00:00:00"/>
    <d v="2025-10-03T00:00:00"/>
    <s v="Acute Viral Fever &amp; Infection"/>
    <s v="Completed"/>
    <n v="15330.44"/>
    <n v="9351.57"/>
    <n v="5978.87"/>
    <s v="Paid"/>
    <n v="9"/>
    <n v="0.61000010436751972"/>
    <n v="0.38999989563248022"/>
  </r>
  <r>
    <n v="10416"/>
    <s v="PAT-1026"/>
    <s v="Manish Gupta"/>
    <s v="Female"/>
    <n v="47"/>
    <s v="Ghaziabad"/>
    <s v="DOC-102"/>
    <s v="Dr. Alok Verma"/>
    <x v="0"/>
    <n v="12"/>
    <d v="2025-06-29T00:00:00"/>
    <d v="2025-07-08T00:00:00"/>
    <s v="Hypertension &amp; Arrhythmia"/>
    <s v="Completed"/>
    <n v="63838.86"/>
    <n v="48517.53"/>
    <n v="15321.33"/>
    <s v="Paid"/>
    <n v="9"/>
    <n v="0.75999994360801548"/>
    <n v="0.24000005639198443"/>
  </r>
  <r>
    <n v="10417"/>
    <s v="PAT-1023"/>
    <s v="Neha Rao"/>
    <s v="Male"/>
    <n v="21"/>
    <s v="Pune"/>
    <s v="DOC-102"/>
    <s v="Dr. Alok Verma"/>
    <x v="0"/>
    <n v="12"/>
    <d v="2025-04-19T00:00:00"/>
    <d v="2025-04-30T00:00:00"/>
    <s v="Hypertension &amp; Arrhythmia"/>
    <s v="Completed"/>
    <n v="59768.75"/>
    <n v="37056.620000000003"/>
    <n v="22712.13"/>
    <s v="Pending"/>
    <n v="11"/>
    <n v="0.61999991634424345"/>
    <n v="0.3800000836557566"/>
  </r>
  <r>
    <n v="10418"/>
    <s v="PAT-1042"/>
    <s v="Ananya Sharma"/>
    <s v="Female"/>
    <n v="65"/>
    <s v="Hyderabad"/>
    <s v="DOC-102"/>
    <s v="Dr. Alok Verma"/>
    <x v="0"/>
    <n v="12"/>
    <d v="2025-06-22T00:00:00"/>
    <d v="2025-07-01T00:00:00"/>
    <s v="Coronary Artery Disease"/>
    <s v="Follow-up"/>
    <n v="280249.09999999998"/>
    <n v="196174.37"/>
    <n v="84074.73"/>
    <s v="Paid"/>
    <n v="9"/>
    <n v="0.70000000000000007"/>
    <n v="0.3"/>
  </r>
  <r>
    <n v="10419"/>
    <s v="PAT-1037"/>
    <s v="Kavya Kumar"/>
    <s v="Male"/>
    <n v="61"/>
    <s v="Mumbai"/>
    <s v="DOC-104"/>
    <s v="Dr. Vikramaditya Rao"/>
    <x v="3"/>
    <n v="18"/>
    <d v="2025-09-01T00:00:00"/>
    <d v="2025-09-10T00:00:00"/>
    <s v="Migraine &amp; Nerve Compression"/>
    <s v="Follow-up"/>
    <n v="40489.21"/>
    <n v="29557.119999999999"/>
    <n v="10932.09"/>
    <s v="Paid"/>
    <n v="9"/>
    <n v="0.72999991849680446"/>
    <n v="0.27000008150319554"/>
  </r>
  <r>
    <n v="10420"/>
    <s v="PAT-1049"/>
    <s v="Pooja Verma"/>
    <s v="Male"/>
    <n v="48"/>
    <s v="Bangalore"/>
    <s v="DOC-106"/>
    <s v="Dr. Neha Sharma"/>
    <x v="2"/>
    <n v="8"/>
    <d v="2025-06-05T00:00:00"/>
    <d v="2025-06-15T00:00:00"/>
    <s v="Knee Replacement Surgery"/>
    <s v="Completed"/>
    <n v="226591.16"/>
    <n v="145018.34"/>
    <n v="81572.820000000007"/>
    <s v="Pending"/>
    <n v="10"/>
    <n v="0.63999998940823632"/>
    <n v="0.36000001059176362"/>
  </r>
  <r>
    <n v="10421"/>
    <s v="PAT-1010"/>
    <s v="Siddharth Rao"/>
    <s v="Male"/>
    <n v="45"/>
    <s v="Noida"/>
    <s v="DOC-101"/>
    <s v="Dr. Rajesh Khanna"/>
    <x v="0"/>
    <n v="15"/>
    <d v="2025-09-07T00:00:00"/>
    <d v="2025-09-17T00:00:00"/>
    <s v="Heart Failure Management"/>
    <s v="Follow-up"/>
    <n v="152008.84"/>
    <n v="103366.01"/>
    <n v="48642.83"/>
    <s v="Paid"/>
    <n v="10"/>
    <n v="0.67999999210572226"/>
    <n v="0.32000000789427774"/>
  </r>
  <r>
    <n v="10422"/>
    <s v="PAT-1042"/>
    <s v="Ananya Sharma"/>
    <s v="Female"/>
    <n v="65"/>
    <s v="Hyderabad"/>
    <s v="DOC-103"/>
    <s v="Dr. Sunita Kapoor"/>
    <x v="3"/>
    <n v="14"/>
    <d v="2025-01-20T00:00:00"/>
    <d v="2025-01-27T00:00:00"/>
    <s v="Acute Ischemic Stroke"/>
    <s v="Completed"/>
    <n v="168962.05"/>
    <n v="136859.26"/>
    <n v="32102.79"/>
    <s v="Paid"/>
    <n v="7"/>
    <n v="0.80999999704075576"/>
    <n v="0.19000000295924441"/>
  </r>
  <r>
    <n v="10423"/>
    <s v="PAT-1031"/>
    <s v="Kavya Kumar"/>
    <s v="Male"/>
    <n v="53"/>
    <s v="Jaipur"/>
    <s v="DOC-108"/>
    <s v="Dr. Sanjay Gupta"/>
    <x v="1"/>
    <n v="11"/>
    <d v="2025-07-09T00:00:00"/>
    <d v="2025-07-20T00:00:00"/>
    <s v="Pneumonia Management"/>
    <s v="Completed"/>
    <n v="34578.67"/>
    <n v="29046.080000000002"/>
    <n v="5532.59"/>
    <s v="Paid"/>
    <n v="11"/>
    <n v="0.83999991902522575"/>
    <n v="0.16000008097477433"/>
  </r>
  <r>
    <n v="10424"/>
    <s v="PAT-1004"/>
    <s v="Neha Patel"/>
    <s v="Male"/>
    <n v="34"/>
    <s v="Ghaziabad"/>
    <s v="DOC-103"/>
    <s v="Dr. Sunita Kapoor"/>
    <x v="3"/>
    <n v="14"/>
    <d v="2025-11-30T00:00:00"/>
    <d v="2025-12-11T00:00:00"/>
    <s v="Migraine &amp; Nerve Compression"/>
    <s v="Completed"/>
    <n v="27371.97"/>
    <n v="17791.78"/>
    <n v="9580.19"/>
    <s v="Paid"/>
    <n v="11"/>
    <n v="0.64999998173313789"/>
    <n v="0.35000001826686206"/>
  </r>
  <r>
    <n v="10425"/>
    <s v="PAT-1048"/>
    <s v="Pooja Verma"/>
    <s v="Female"/>
    <n v="39"/>
    <s v="Pune"/>
    <s v="DOC-102"/>
    <s v="Dr. Alok Verma"/>
    <x v="0"/>
    <n v="12"/>
    <d v="2025-02-11T00:00:00"/>
    <d v="2025-02-25T00:00:00"/>
    <s v="Heart Failure Management"/>
    <s v="Completed"/>
    <n v="231087.35"/>
    <n v="173315.51"/>
    <n v="57771.839999999997"/>
    <s v="Paid"/>
    <n v="14"/>
    <n v="0.74999998918158006"/>
    <n v="0.25000001081841994"/>
  </r>
  <r>
    <n v="10426"/>
    <s v="PAT-1001"/>
    <s v="Sneha Singh"/>
    <s v="Female"/>
    <n v="47"/>
    <s v="Delhi"/>
    <s v="DOC-108"/>
    <s v="Dr. Sanjay Gupta"/>
    <x v="1"/>
    <n v="11"/>
    <d v="2025-08-08T00:00:00"/>
    <d v="2025-08-18T00:00:00"/>
    <s v="Acute Viral Fever &amp; Infection"/>
    <s v="Follow-up"/>
    <n v="18093.91"/>
    <n v="11941.98"/>
    <n v="6151.93"/>
    <s v="Paid"/>
    <n v="10"/>
    <n v="0.65999996683967144"/>
    <n v="0.34000003316032856"/>
  </r>
  <r>
    <n v="10427"/>
    <s v="PAT-1027"/>
    <s v="Siddharth Verma"/>
    <s v="Female"/>
    <n v="33"/>
    <s v="Noida"/>
    <s v="DOC-106"/>
    <s v="Dr. Neha Sharma"/>
    <x v="2"/>
    <n v="8"/>
    <d v="2025-01-06T00:00:00"/>
    <d v="2025-01-16T00:00:00"/>
    <s v="Ligament Tear Repair"/>
    <s v="Completed"/>
    <n v="57933.25"/>
    <n v="46925.93"/>
    <n v="11007.32"/>
    <s v="Paid"/>
    <n v="10"/>
    <n v="0.80999995684688841"/>
    <n v="0.19000004315311156"/>
  </r>
  <r>
    <n v="10428"/>
    <s v="PAT-1019"/>
    <s v="Aarav Kapoor"/>
    <s v="Female"/>
    <n v="52"/>
    <s v="Hyderabad"/>
    <s v="DOC-103"/>
    <s v="Dr. Sunita Kapoor"/>
    <x v="3"/>
    <n v="14"/>
    <d v="2025-04-19T00:00:00"/>
    <d v="2025-04-28T00:00:00"/>
    <s v="Acute Ischemic Stroke"/>
    <s v="Follow-up"/>
    <n v="128507.84"/>
    <n v="98951.039999999994"/>
    <n v="29556.799999999999"/>
    <s v="Paid"/>
    <n v="9"/>
    <n v="0.77000002490120445"/>
    <n v="0.22999997509879552"/>
  </r>
  <r>
    <n v="10429"/>
    <s v="PAT-1050"/>
    <s v="Priya Mehta"/>
    <s v="Male"/>
    <n v="33"/>
    <s v="Mumbai"/>
    <s v="DOC-102"/>
    <s v="Dr. Alok Verma"/>
    <x v="0"/>
    <n v="12"/>
    <d v="2025-06-01T00:00:00"/>
    <d v="2025-06-07T00:00:00"/>
    <s v="Hypertension &amp; Arrhythmia"/>
    <s v="Completed"/>
    <n v="65691.19"/>
    <n v="51896.04"/>
    <n v="13795.15"/>
    <s v="Pending"/>
    <n v="6"/>
    <n v="0.78999999847772584"/>
    <n v="0.21000000152227413"/>
  </r>
  <r>
    <n v="10430"/>
    <s v="PAT-1039"/>
    <s v="Rahul Saxena"/>
    <s v="Female"/>
    <n v="37"/>
    <s v="Faridabad"/>
    <s v="DOC-107"/>
    <s v="Dr. Meera Nair"/>
    <x v="1"/>
    <n v="9"/>
    <d v="2025-12-02T00:00:00"/>
    <d v="2025-12-11T00:00:00"/>
    <s v="Pneumonia Management"/>
    <s v="Completed"/>
    <n v="60537.16"/>
    <n v="44192.13"/>
    <n v="16345.03"/>
    <s v="Paid"/>
    <n v="9"/>
    <n v="0.73000005286009439"/>
    <n v="0.26999994713990549"/>
  </r>
  <r>
    <n v="10431"/>
    <s v="PAT-1039"/>
    <s v="Rahul Saxena"/>
    <s v="Female"/>
    <n v="37"/>
    <s v="Faridabad"/>
    <s v="DOC-106"/>
    <s v="Dr. Neha Sharma"/>
    <x v="2"/>
    <n v="8"/>
    <d v="2025-07-01T00:00:00"/>
    <d v="2025-07-11T00:00:00"/>
    <s v="Ligament Tear Repair"/>
    <s v="Completed"/>
    <n v="105257.28"/>
    <n v="86310.97"/>
    <n v="18946.310000000001"/>
    <s v="Paid"/>
    <n v="10"/>
    <n v="0.82000000380021221"/>
    <n v="0.17999999619978782"/>
  </r>
  <r>
    <n v="10432"/>
    <s v="PAT-1040"/>
    <s v="Pooja Mehta"/>
    <s v="Male"/>
    <n v="74"/>
    <s v="Bangalore"/>
    <s v="DOC-105"/>
    <s v="Dr. Amit Kumar"/>
    <x v="2"/>
    <n v="10"/>
    <d v="2025-03-27T00:00:00"/>
    <d v="2025-04-05T00:00:00"/>
    <s v="Ligament Tear Repair"/>
    <s v="Completed"/>
    <n v="103909.4"/>
    <n v="71697.490000000005"/>
    <n v="32211.91"/>
    <s v="Paid"/>
    <n v="9"/>
    <n v="0.69000003849507363"/>
    <n v="0.30999996150492642"/>
  </r>
  <r>
    <n v="10433"/>
    <s v="PAT-1044"/>
    <s v="Pooja Singh"/>
    <s v="Male"/>
    <n v="67"/>
    <s v="Hyderabad"/>
    <s v="DOC-102"/>
    <s v="Dr. Alok Verma"/>
    <x v="0"/>
    <n v="12"/>
    <d v="2025-10-05T00:00:00"/>
    <d v="2025-10-08T00:00:00"/>
    <s v="Coronary Artery Disease"/>
    <s v="Completed"/>
    <n v="380483.18"/>
    <n v="292972.05"/>
    <n v="87511.13"/>
    <s v="Paid"/>
    <n v="3"/>
    <n v="0.77000000367953192"/>
    <n v="0.22999999632046811"/>
  </r>
  <r>
    <n v="10434"/>
    <s v="PAT-1020"/>
    <s v="Ritu Verma"/>
    <s v="Female"/>
    <n v="68"/>
    <s v="Gurgaon"/>
    <s v="DOC-107"/>
    <s v="Dr. Meera Nair"/>
    <x v="1"/>
    <n v="9"/>
    <d v="2025-05-17T00:00:00"/>
    <d v="2025-05-30T00:00:00"/>
    <s v="Pneumonia Management"/>
    <s v="Completed"/>
    <n v="43796.86"/>
    <n v="28467.96"/>
    <n v="15328.9"/>
    <s v="Pending"/>
    <n v="13"/>
    <n v="0.6500000228326871"/>
    <n v="0.3499999771673129"/>
  </r>
  <r>
    <n v="10435"/>
    <s v="PAT-1005"/>
    <s v="Rohan Verma"/>
    <s v="Female"/>
    <n v="67"/>
    <s v="Pune"/>
    <s v="DOC-105"/>
    <s v="Dr. Amit Kumar"/>
    <x v="2"/>
    <n v="10"/>
    <d v="2025-01-24T00:00:00"/>
    <d v="2025-02-05T00:00:00"/>
    <s v="Knee Replacement Surgery"/>
    <s v="Completed"/>
    <n v="173604.65"/>
    <n v="109370.93"/>
    <n v="64233.72"/>
    <s v="Paid"/>
    <n v="12"/>
    <n v="0.63000000288010716"/>
    <n v="0.36999999711989284"/>
  </r>
  <r>
    <n v="10436"/>
    <s v="PAT-1033"/>
    <s v="Vikram Joshi"/>
    <s v="Female"/>
    <n v="75"/>
    <s v="Bangalore"/>
    <s v="DOC-107"/>
    <s v="Dr. Meera Nair"/>
    <x v="1"/>
    <n v="9"/>
    <d v="2025-12-03T00:00:00"/>
    <d v="2025-12-17T00:00:00"/>
    <s v="Pneumonia Management"/>
    <s v="Completed"/>
    <n v="67187.850000000006"/>
    <n v="54422.16"/>
    <n v="12765.69"/>
    <s v="Pending"/>
    <n v="14"/>
    <n v="0.81000002232546509"/>
    <n v="0.18999997767453489"/>
  </r>
  <r>
    <n v="10437"/>
    <s v="PAT-1019"/>
    <s v="Aarav Kapoor"/>
    <s v="Female"/>
    <n v="52"/>
    <s v="Hyderabad"/>
    <s v="DOC-103"/>
    <s v="Dr. Sunita Kapoor"/>
    <x v="3"/>
    <n v="14"/>
    <d v="2025-05-16T00:00:00"/>
    <d v="2025-05-19T00:00:00"/>
    <s v="Migraine &amp; Nerve Compression"/>
    <s v="Completed"/>
    <n v="23121.32"/>
    <n v="19190.7"/>
    <n v="3930.62"/>
    <s v="Pending"/>
    <n v="3"/>
    <n v="0.83000019030055383"/>
    <n v="0.16999980969944622"/>
  </r>
  <r>
    <n v="10438"/>
    <s v="PAT-1002"/>
    <s v="Amit Saxena"/>
    <s v="Male"/>
    <n v="56"/>
    <s v="Ghaziabad"/>
    <s v="DOC-108"/>
    <s v="Dr. Sanjay Gupta"/>
    <x v="1"/>
    <n v="11"/>
    <d v="2025-07-06T00:00:00"/>
    <d v="2025-07-11T00:00:00"/>
    <s v="Typhoid &amp; Severe Dehydration"/>
    <s v="Completed"/>
    <n v="20273.689999999999"/>
    <n v="13177.9"/>
    <n v="7095.79"/>
    <s v="Pending"/>
    <n v="5"/>
    <n v="0.6500000739875178"/>
    <n v="0.3499999260124822"/>
  </r>
  <r>
    <n v="10439"/>
    <s v="PAT-1033"/>
    <s v="Vikram Joshi"/>
    <s v="Female"/>
    <n v="75"/>
    <s v="Bangalore"/>
    <s v="DOC-103"/>
    <s v="Dr. Sunita Kapoor"/>
    <x v="3"/>
    <n v="14"/>
    <d v="2025-05-05T00:00:00"/>
    <d v="2025-05-14T00:00:00"/>
    <s v="Epilepsy Monitoring"/>
    <s v="Completed"/>
    <n v="68306.64"/>
    <n v="47131.58"/>
    <n v="21175.06"/>
    <s v="Pending"/>
    <n v="9"/>
    <n v="0.6899999765762157"/>
    <n v="0.3100000234237843"/>
  </r>
  <r>
    <n v="10440"/>
    <s v="PAT-1021"/>
    <s v="Amit Gupta"/>
    <s v="Male"/>
    <n v="65"/>
    <s v="Pune"/>
    <s v="DOC-102"/>
    <s v="Dr. Alok Verma"/>
    <x v="0"/>
    <n v="12"/>
    <d v="2025-11-04T00:00:00"/>
    <d v="2025-11-16T00:00:00"/>
    <s v="Heart Failure Management"/>
    <s v="Completed"/>
    <n v="129785.19"/>
    <n v="89551.78"/>
    <n v="40233.410000000003"/>
    <s v="Paid"/>
    <n v="12"/>
    <n v="0.68999999152445668"/>
    <n v="0.31000000847554332"/>
  </r>
  <r>
    <n v="10441"/>
    <s v="PAT-1050"/>
    <s v="Priya Mehta"/>
    <s v="Male"/>
    <n v="33"/>
    <s v="Mumbai"/>
    <s v="DOC-103"/>
    <s v="Dr. Sunita Kapoor"/>
    <x v="3"/>
    <n v="14"/>
    <d v="2025-03-17T00:00:00"/>
    <d v="2025-03-28T00:00:00"/>
    <s v="Epilepsy Monitoring"/>
    <s v="Follow-up"/>
    <n v="45811.81"/>
    <n v="34358.86"/>
    <n v="11452.95"/>
    <s v="Pending"/>
    <n v="11"/>
    <n v="0.75000005457108121"/>
    <n v="0.2499999454289189"/>
  </r>
  <r>
    <n v="10442"/>
    <s v="PAT-1048"/>
    <s v="Pooja Verma"/>
    <s v="Female"/>
    <n v="39"/>
    <s v="Pune"/>
    <s v="DOC-101"/>
    <s v="Dr. Rajesh Khanna"/>
    <x v="0"/>
    <n v="15"/>
    <d v="2025-08-31T00:00:00"/>
    <d v="2025-09-12T00:00:00"/>
    <s v="Coronary Artery Disease"/>
    <s v="Completed"/>
    <n v="261541.84"/>
    <n v="156925.1"/>
    <n v="104616.74"/>
    <s v="Paid"/>
    <n v="12"/>
    <n v="0.59999998470607996"/>
    <n v="0.4000000152939201"/>
  </r>
  <r>
    <n v="10443"/>
    <s v="PAT-1024"/>
    <s v="Rahul Nair"/>
    <s v="Female"/>
    <n v="47"/>
    <s v="Delhi"/>
    <s v="DOC-103"/>
    <s v="Dr. Sunita Kapoor"/>
    <x v="3"/>
    <n v="14"/>
    <d v="2025-07-23T00:00:00"/>
    <d v="2025-08-04T00:00:00"/>
    <s v="Epilepsy Monitoring"/>
    <s v="Completed"/>
    <n v="86290.07"/>
    <n v="69032.06"/>
    <n v="17258.009999999998"/>
    <s v="Paid"/>
    <n v="12"/>
    <n v="0.80000004635527577"/>
    <n v="0.19999995364472409"/>
  </r>
  <r>
    <n v="10444"/>
    <s v="PAT-1008"/>
    <s v="Priya Rao"/>
    <s v="Female"/>
    <n v="37"/>
    <s v="Ghaziabad"/>
    <s v="DOC-102"/>
    <s v="Dr. Alok Verma"/>
    <x v="0"/>
    <n v="12"/>
    <d v="2025-04-15T00:00:00"/>
    <d v="2025-04-22T00:00:00"/>
    <s v="Coronary Artery Disease"/>
    <s v="Completed"/>
    <n v="296636.63"/>
    <n v="222477.47"/>
    <n v="74159.16"/>
    <s v="Paid"/>
    <n v="7"/>
    <n v="0.74999999157218045"/>
    <n v="0.25000000842781961"/>
  </r>
  <r>
    <n v="10445"/>
    <s v="PAT-1038"/>
    <s v="Rahul Kumar"/>
    <s v="Male"/>
    <n v="26"/>
    <s v="Hyderabad"/>
    <s v="DOC-102"/>
    <s v="Dr. Alok Verma"/>
    <x v="0"/>
    <n v="12"/>
    <d v="2025-09-10T00:00:00"/>
    <d v="2025-09-22T00:00:00"/>
    <s v="Heart Failure Management"/>
    <s v="Completed"/>
    <n v="81684.75"/>
    <n v="61263.56"/>
    <n v="20421.189999999999"/>
    <s v="Paid"/>
    <n v="12"/>
    <n v="0.74999996939453195"/>
    <n v="0.25000003060546794"/>
  </r>
  <r>
    <n v="10446"/>
    <s v="PAT-1030"/>
    <s v="Aarav Joshi"/>
    <s v="Male"/>
    <n v="68"/>
    <s v="Faridabad"/>
    <s v="DOC-105"/>
    <s v="Dr. Amit Kumar"/>
    <x v="2"/>
    <n v="10"/>
    <d v="2025-06-16T00:00:00"/>
    <d v="2025-06-21T00:00:00"/>
    <s v="Ligament Tear Repair"/>
    <s v="Completed"/>
    <n v="70607.45"/>
    <n v="57898.11"/>
    <n v="12709.34"/>
    <s v="Paid"/>
    <n v="5"/>
    <n v="0.82000001416281143"/>
    <n v="0.17999998583718857"/>
  </r>
  <r>
    <n v="10447"/>
    <s v="PAT-1027"/>
    <s v="Siddharth Verma"/>
    <s v="Female"/>
    <n v="33"/>
    <s v="Noida"/>
    <s v="DOC-108"/>
    <s v="Dr. Sanjay Gupta"/>
    <x v="1"/>
    <n v="11"/>
    <d v="2025-06-20T00:00:00"/>
    <d v="2025-07-01T00:00:00"/>
    <s v="Pneumonia Management"/>
    <s v="Follow-up"/>
    <n v="37185.230000000003"/>
    <n v="28632.63"/>
    <n v="8552.6"/>
    <s v="Paid"/>
    <n v="11"/>
    <n v="0.77000007798795378"/>
    <n v="0.22999992201204617"/>
  </r>
  <r>
    <n v="10448"/>
    <s v="PAT-1001"/>
    <s v="Sneha Singh"/>
    <s v="Female"/>
    <n v="47"/>
    <s v="Delhi"/>
    <s v="DOC-105"/>
    <s v="Dr. Amit Kumar"/>
    <x v="2"/>
    <n v="10"/>
    <d v="2025-01-24T00:00:00"/>
    <d v="2025-02-01T00:00:00"/>
    <s v="Cervical Spondylosis"/>
    <s v="Follow-up"/>
    <n v="61515.67"/>
    <n v="48597.38"/>
    <n v="12918.29"/>
    <s v="Paid"/>
    <n v="8"/>
    <n v="0.79000001137921438"/>
    <n v="0.20999998862078559"/>
  </r>
  <r>
    <n v="10449"/>
    <s v="PAT-1012"/>
    <s v="Ananya Saxena"/>
    <s v="Male"/>
    <n v="40"/>
    <s v="Delhi"/>
    <s v="DOC-108"/>
    <s v="Dr. Sanjay Gupta"/>
    <x v="1"/>
    <n v="11"/>
    <d v="2025-09-17T00:00:00"/>
    <d v="2025-09-30T00:00:00"/>
    <s v="Acute Viral Fever &amp; Infection"/>
    <s v="Completed"/>
    <n v="12448.31"/>
    <n v="7593.47"/>
    <n v="4854.84"/>
    <s v="Paid"/>
    <n v="13"/>
    <n v="0.6100000722989708"/>
    <n v="0.38999992770102931"/>
  </r>
  <r>
    <n v="10450"/>
    <s v="PAT-1006"/>
    <s v="Neha Singh"/>
    <s v="Female"/>
    <n v="68"/>
    <s v="Mumbai"/>
    <s v="DOC-108"/>
    <s v="Dr. Sanjay Gupta"/>
    <x v="1"/>
    <n v="11"/>
    <d v="2025-11-19T00:00:00"/>
    <d v="2025-12-03T00:00:00"/>
    <s v="Pneumonia Management"/>
    <s v="Follow-up"/>
    <n v="31759.32"/>
    <n v="22231.52"/>
    <n v="9527.7999999999993"/>
    <s v="Paid"/>
    <n v="14"/>
    <n v="0.69999987405271902"/>
    <n v="0.30000012594728098"/>
  </r>
  <r>
    <n v="10451"/>
    <s v="PAT-1032"/>
    <s v="Rahul Joshi"/>
    <s v="Female"/>
    <n v="19"/>
    <s v="Gurgaon"/>
    <s v="DOC-103"/>
    <s v="Dr. Sunita Kapoor"/>
    <x v="3"/>
    <n v="14"/>
    <d v="2025-04-18T00:00:00"/>
    <d v="2025-04-27T00:00:00"/>
    <s v="Epilepsy Monitoring"/>
    <s v="Completed"/>
    <n v="68337.41"/>
    <n v="43735.94"/>
    <n v="24601.47"/>
    <s v="Paid"/>
    <n v="9"/>
    <n v="0.63999996488014399"/>
    <n v="0.36000003511985601"/>
  </r>
  <r>
    <n v="10452"/>
    <s v="PAT-1011"/>
    <s v="Siddharth Nair"/>
    <s v="Female"/>
    <n v="18"/>
    <s v="Hyderabad"/>
    <s v="DOC-104"/>
    <s v="Dr. Vikramaditya Rao"/>
    <x v="3"/>
    <n v="18"/>
    <d v="2025-11-25T00:00:00"/>
    <d v="2025-12-09T00:00:00"/>
    <s v="Migraine &amp; Nerve Compression"/>
    <s v="Follow-up"/>
    <n v="43667.43"/>
    <n v="30567.200000000001"/>
    <n v="13100.23"/>
    <s v="Paid"/>
    <n v="14"/>
    <n v="0.69999997709963702"/>
    <n v="0.30000002290036304"/>
  </r>
  <r>
    <n v="10453"/>
    <s v="PAT-1029"/>
    <s v="Amit Rao"/>
    <s v="Female"/>
    <n v="59"/>
    <s v="Jaipur"/>
    <s v="DOC-102"/>
    <s v="Dr. Alok Verma"/>
    <x v="0"/>
    <n v="12"/>
    <d v="2025-04-07T00:00:00"/>
    <d v="2025-04-18T00:00:00"/>
    <s v="Coronary Artery Disease"/>
    <s v="Follow-up"/>
    <n v="205456.69"/>
    <n v="127383.15"/>
    <n v="78073.539999999994"/>
    <s v="Pending"/>
    <n v="11"/>
    <n v="0.62000001070785282"/>
    <n v="0.37999998929214712"/>
  </r>
  <r>
    <n v="10454"/>
    <s v="PAT-1026"/>
    <s v="Manish Gupta"/>
    <s v="Female"/>
    <n v="47"/>
    <s v="Ghaziabad"/>
    <s v="DOC-107"/>
    <s v="Dr. Meera Nair"/>
    <x v="1"/>
    <n v="9"/>
    <d v="2025-04-12T00:00:00"/>
    <d v="2025-04-16T00:00:00"/>
    <s v="Typhoid &amp; Severe Dehydration"/>
    <s v="Follow-up"/>
    <n v="26889.97"/>
    <n v="18016.28"/>
    <n v="8873.69"/>
    <s v="Pending"/>
    <n v="4"/>
    <n v="0.67000000371885871"/>
    <n v="0.32999999628114124"/>
  </r>
  <r>
    <n v="10455"/>
    <s v="PAT-1009"/>
    <s v="Priya Kumar"/>
    <s v="Female"/>
    <n v="60"/>
    <s v="Faridabad"/>
    <s v="DOC-101"/>
    <s v="Dr. Rajesh Khanna"/>
    <x v="0"/>
    <n v="15"/>
    <d v="2025-08-18T00:00:00"/>
    <d v="2025-08-23T00:00:00"/>
    <s v="Coronary Artery Disease"/>
    <s v="Completed"/>
    <n v="336618.39"/>
    <n v="286125.63"/>
    <n v="50492.76"/>
    <s v="Paid"/>
    <n v="5"/>
    <n v="0.84999999554391548"/>
    <n v="0.15000000445608452"/>
  </r>
  <r>
    <n v="10456"/>
    <s v="PAT-1044"/>
    <s v="Pooja Singh"/>
    <s v="Male"/>
    <n v="67"/>
    <s v="Hyderabad"/>
    <s v="DOC-104"/>
    <s v="Dr. Vikramaditya Rao"/>
    <x v="3"/>
    <n v="18"/>
    <d v="2025-08-26T00:00:00"/>
    <d v="2025-09-08T00:00:00"/>
    <s v="Acute Ischemic Stroke"/>
    <s v="Completed"/>
    <n v="165887.81"/>
    <n v="131051.37"/>
    <n v="34836.44"/>
    <s v="Paid"/>
    <n v="13"/>
    <n v="0.79000000060281705"/>
    <n v="0.20999999939718297"/>
  </r>
  <r>
    <n v="10457"/>
    <s v="PAT-1002"/>
    <s v="Amit Saxena"/>
    <s v="Male"/>
    <n v="56"/>
    <s v="Ghaziabad"/>
    <s v="DOC-106"/>
    <s v="Dr. Neha Sharma"/>
    <x v="2"/>
    <n v="8"/>
    <d v="2025-08-10T00:00:00"/>
    <d v="2025-08-23T00:00:00"/>
    <s v="Ligament Tear Repair"/>
    <s v="Follow-up"/>
    <n v="93190.37"/>
    <n v="63369.45"/>
    <n v="29820.92"/>
    <s v="Pending"/>
    <n v="13"/>
    <n v="0.67999998283084395"/>
    <n v="0.32000001716915599"/>
  </r>
  <r>
    <n v="10458"/>
    <s v="PAT-1009"/>
    <s v="Priya Kumar"/>
    <s v="Female"/>
    <n v="60"/>
    <s v="Faridabad"/>
    <s v="DOC-108"/>
    <s v="Dr. Sanjay Gupta"/>
    <x v="1"/>
    <n v="11"/>
    <d v="2025-07-12T00:00:00"/>
    <d v="2025-07-19T00:00:00"/>
    <s v="Typhoid &amp; Severe Dehydration"/>
    <s v="Completed"/>
    <n v="17025.099999999999"/>
    <n v="10385.31"/>
    <n v="6639.79"/>
    <s v="Pending"/>
    <n v="7"/>
    <n v="0.60999994126319379"/>
    <n v="0.39000005873680627"/>
  </r>
  <r>
    <n v="10459"/>
    <s v="PAT-1012"/>
    <s v="Ananya Saxena"/>
    <s v="Male"/>
    <n v="40"/>
    <s v="Delhi"/>
    <s v="DOC-105"/>
    <s v="Dr. Amit Kumar"/>
    <x v="2"/>
    <n v="10"/>
    <d v="2025-10-02T00:00:00"/>
    <d v="2025-10-07T00:00:00"/>
    <s v="Knee Replacement Surgery"/>
    <s v="Completed"/>
    <n v="260844.76"/>
    <n v="195633.57"/>
    <n v="65211.19"/>
    <s v="Paid"/>
    <n v="5"/>
    <n v="0.75"/>
    <n v="0.25"/>
  </r>
  <r>
    <n v="10460"/>
    <s v="PAT-1044"/>
    <s v="Pooja Singh"/>
    <s v="Male"/>
    <n v="67"/>
    <s v="Hyderabad"/>
    <s v="DOC-106"/>
    <s v="Dr. Neha Sharma"/>
    <x v="2"/>
    <n v="8"/>
    <d v="2025-05-05T00:00:00"/>
    <d v="2025-05-07T00:00:00"/>
    <s v="Knee Replacement Surgery"/>
    <s v="Completed"/>
    <n v="330737.91999999998"/>
    <n v="231516.54"/>
    <n v="99221.38"/>
    <s v="Paid"/>
    <n v="2"/>
    <n v="0.69999998790583196"/>
    <n v="0.3000000120941681"/>
  </r>
  <r>
    <n v="10461"/>
    <s v="PAT-1010"/>
    <s v="Siddharth Rao"/>
    <s v="Male"/>
    <n v="45"/>
    <s v="Noida"/>
    <s v="DOC-108"/>
    <s v="Dr. Sanjay Gupta"/>
    <x v="1"/>
    <n v="11"/>
    <d v="2025-09-28T00:00:00"/>
    <d v="2025-10-05T00:00:00"/>
    <s v="Pneumonia Management"/>
    <s v="Completed"/>
    <n v="52969.27"/>
    <n v="33900.33"/>
    <n v="19068.939999999999"/>
    <s v="Pending"/>
    <n v="7"/>
    <n v="0.63999994713916208"/>
    <n v="0.36000005286083797"/>
  </r>
  <r>
    <n v="10462"/>
    <s v="PAT-1032"/>
    <s v="Rahul Joshi"/>
    <s v="Female"/>
    <n v="19"/>
    <s v="Gurgaon"/>
    <s v="DOC-101"/>
    <s v="Dr. Rajesh Khanna"/>
    <x v="0"/>
    <n v="15"/>
    <d v="2025-08-14T00:00:00"/>
    <d v="2025-08-24T00:00:00"/>
    <s v="Coronary Artery Disease"/>
    <s v="Follow-up"/>
    <n v="406016.99"/>
    <n v="336994.1"/>
    <n v="69022.89"/>
    <s v="Pending"/>
    <n v="10"/>
    <n v="0.829999995812983"/>
    <n v="0.17000000418701691"/>
  </r>
  <r>
    <n v="10463"/>
    <s v="PAT-1042"/>
    <s v="Ananya Sharma"/>
    <s v="Female"/>
    <n v="65"/>
    <s v="Hyderabad"/>
    <s v="DOC-104"/>
    <s v="Dr. Vikramaditya Rao"/>
    <x v="3"/>
    <n v="18"/>
    <d v="2025-07-04T00:00:00"/>
    <d v="2025-07-17T00:00:00"/>
    <s v="Migraine &amp; Nerve Compression"/>
    <s v="Completed"/>
    <n v="36375.089999999997"/>
    <n v="26917.57"/>
    <n v="9457.52"/>
    <s v="Paid"/>
    <n v="13"/>
    <n v="0.74000009347055917"/>
    <n v="0.25999990652944094"/>
  </r>
  <r>
    <n v="10464"/>
    <s v="PAT-1023"/>
    <s v="Neha Rao"/>
    <s v="Male"/>
    <n v="21"/>
    <s v="Pune"/>
    <s v="DOC-103"/>
    <s v="Dr. Sunita Kapoor"/>
    <x v="3"/>
    <n v="14"/>
    <d v="2025-02-02T00:00:00"/>
    <d v="2025-02-09T00:00:00"/>
    <s v="Migraine &amp; Nerve Compression"/>
    <s v="Follow-up"/>
    <n v="36319.370000000003"/>
    <n v="23244.400000000001"/>
    <n v="13074.97"/>
    <s v="Paid"/>
    <n v="7"/>
    <n v="0.64000008810725517"/>
    <n v="0.35999991189274477"/>
  </r>
  <r>
    <n v="10465"/>
    <s v="PAT-1017"/>
    <s v="Ritu Saxena"/>
    <s v="Female"/>
    <n v="73"/>
    <s v="Gurgaon"/>
    <s v="DOC-106"/>
    <s v="Dr. Neha Sharma"/>
    <x v="2"/>
    <n v="8"/>
    <d v="2025-07-09T00:00:00"/>
    <d v="2025-07-14T00:00:00"/>
    <s v="Ligament Tear Repair"/>
    <s v="Follow-up"/>
    <n v="66925.149999999994"/>
    <n v="50193.86"/>
    <n v="16731.29"/>
    <s v="Pending"/>
    <n v="5"/>
    <n v="0.74999996264483537"/>
    <n v="0.25000003735516474"/>
  </r>
  <r>
    <n v="10466"/>
    <s v="PAT-1027"/>
    <s v="Siddharth Verma"/>
    <s v="Female"/>
    <n v="33"/>
    <s v="Noida"/>
    <s v="DOC-103"/>
    <s v="Dr. Sunita Kapoor"/>
    <x v="3"/>
    <n v="14"/>
    <d v="2025-12-02T00:00:00"/>
    <d v="2025-12-08T00:00:00"/>
    <s v="Acute Ischemic Stroke"/>
    <s v="Follow-up"/>
    <n v="206940.75"/>
    <n v="128303.26"/>
    <n v="78637.490000000005"/>
    <s v="Paid"/>
    <n v="6"/>
    <n v="0.61999997583849475"/>
    <n v="0.38000002416150519"/>
  </r>
  <r>
    <n v="10467"/>
    <s v="PAT-1040"/>
    <s v="Pooja Mehta"/>
    <s v="Male"/>
    <n v="74"/>
    <s v="Bangalore"/>
    <s v="DOC-106"/>
    <s v="Dr. Neha Sharma"/>
    <x v="2"/>
    <n v="8"/>
    <d v="2025-08-20T00:00:00"/>
    <d v="2025-08-24T00:00:00"/>
    <s v="Knee Replacement Surgery"/>
    <s v="Completed"/>
    <n v="276109.40000000002"/>
    <n v="226409.71"/>
    <n v="49699.69"/>
    <s v="Pending"/>
    <n v="4"/>
    <n v="0.82000000724350552"/>
    <n v="0.17999999275649434"/>
  </r>
  <r>
    <n v="10468"/>
    <s v="PAT-1041"/>
    <s v="Ananya Patel"/>
    <s v="Female"/>
    <n v="66"/>
    <s v="Delhi"/>
    <s v="DOC-105"/>
    <s v="Dr. Amit Kumar"/>
    <x v="2"/>
    <n v="10"/>
    <d v="2025-05-07T00:00:00"/>
    <d v="2025-05-14T00:00:00"/>
    <s v="Knee Replacement Surgery"/>
    <s v="Completed"/>
    <n v="224361.29"/>
    <n v="183976.26"/>
    <n v="40385.03"/>
    <s v="Paid"/>
    <n v="7"/>
    <n v="0.82000000980561305"/>
    <n v="0.17999999019438689"/>
  </r>
  <r>
    <n v="10469"/>
    <s v="PAT-1012"/>
    <s v="Ananya Saxena"/>
    <s v="Male"/>
    <n v="40"/>
    <s v="Delhi"/>
    <s v="DOC-106"/>
    <s v="Dr. Neha Sharma"/>
    <x v="2"/>
    <n v="8"/>
    <d v="2025-10-09T00:00:00"/>
    <d v="2025-10-16T00:00:00"/>
    <s v="Ligament Tear Repair"/>
    <s v="Completed"/>
    <n v="67538.960000000006"/>
    <n v="47277.27"/>
    <n v="20261.689999999999"/>
    <s v="Paid"/>
    <n v="7"/>
    <n v="0.6999999703874622"/>
    <n v="0.30000002961253769"/>
  </r>
  <r>
    <n v="10470"/>
    <s v="PAT-1037"/>
    <s v="Kavya Kumar"/>
    <s v="Male"/>
    <n v="61"/>
    <s v="Mumbai"/>
    <s v="DOC-103"/>
    <s v="Dr. Sunita Kapoor"/>
    <x v="3"/>
    <n v="14"/>
    <d v="2025-10-23T00:00:00"/>
    <d v="2025-11-06T00:00:00"/>
    <s v="Epilepsy Monitoring"/>
    <s v="Completed"/>
    <n v="65521.760000000002"/>
    <n v="53727.839999999997"/>
    <n v="11793.92"/>
    <s v="Paid"/>
    <n v="14"/>
    <n v="0.81999995116126301"/>
    <n v="0.18000004883873694"/>
  </r>
  <r>
    <n v="10471"/>
    <s v="PAT-1010"/>
    <s v="Siddharth Rao"/>
    <s v="Male"/>
    <n v="45"/>
    <s v="Noida"/>
    <s v="DOC-105"/>
    <s v="Dr. Amit Kumar"/>
    <x v="2"/>
    <n v="10"/>
    <d v="2025-08-23T00:00:00"/>
    <d v="2025-09-02T00:00:00"/>
    <s v="Ligament Tear Repair"/>
    <s v="Follow-up"/>
    <n v="61855.05"/>
    <n v="48865.49"/>
    <n v="12989.56"/>
    <s v="Paid"/>
    <n v="10"/>
    <n v="0.79000000808341431"/>
    <n v="0.20999999191658561"/>
  </r>
  <r>
    <n v="10472"/>
    <s v="PAT-1050"/>
    <s v="Priya Mehta"/>
    <s v="Male"/>
    <n v="33"/>
    <s v="Mumbai"/>
    <s v="DOC-102"/>
    <s v="Dr. Alok Verma"/>
    <x v="0"/>
    <n v="12"/>
    <d v="2025-04-01T00:00:00"/>
    <d v="2025-04-12T00:00:00"/>
    <s v="Hypertension &amp; Arrhythmia"/>
    <s v="Follow-up"/>
    <n v="81090.720000000001"/>
    <n v="67305.3"/>
    <n v="13785.42"/>
    <s v="Paid"/>
    <n v="11"/>
    <n v="0.83000002959648156"/>
    <n v="0.16999997040351844"/>
  </r>
  <r>
    <n v="10473"/>
    <s v="PAT-1007"/>
    <s v="Ananya Kumar"/>
    <s v="Female"/>
    <n v="45"/>
    <s v="Ghaziabad"/>
    <s v="DOC-103"/>
    <s v="Dr. Sunita Kapoor"/>
    <x v="3"/>
    <n v="14"/>
    <d v="2025-01-24T00:00:00"/>
    <d v="2025-02-04T00:00:00"/>
    <s v="Acute Ischemic Stroke"/>
    <s v="Completed"/>
    <n v="292444.65000000002"/>
    <n v="245653.51"/>
    <n v="46791.14"/>
    <s v="Paid"/>
    <n v="11"/>
    <n v="0.84000001367780186"/>
    <n v="0.15999998632219806"/>
  </r>
  <r>
    <n v="10474"/>
    <s v="PAT-1032"/>
    <s v="Rahul Joshi"/>
    <s v="Female"/>
    <n v="19"/>
    <s v="Gurgaon"/>
    <s v="DOC-107"/>
    <s v="Dr. Meera Nair"/>
    <x v="1"/>
    <n v="9"/>
    <d v="2025-06-02T00:00:00"/>
    <d v="2025-06-05T00:00:00"/>
    <s v="Typhoid &amp; Severe Dehydration"/>
    <s v="Completed"/>
    <n v="28487.5"/>
    <n v="21080.75"/>
    <n v="7406.75"/>
    <s v="Pending"/>
    <n v="3"/>
    <n v="0.74"/>
    <n v="0.26"/>
  </r>
  <r>
    <n v="10475"/>
    <s v="PAT-1001"/>
    <s v="Sneha Singh"/>
    <s v="Female"/>
    <n v="47"/>
    <s v="Delhi"/>
    <s v="DOC-101"/>
    <s v="Dr. Rajesh Khanna"/>
    <x v="0"/>
    <n v="15"/>
    <d v="2025-04-03T00:00:00"/>
    <d v="2025-04-08T00:00:00"/>
    <s v="Coronary Artery Disease"/>
    <s v="Completed"/>
    <n v="301746.34999999998"/>
    <n v="250449.47"/>
    <n v="51296.88"/>
    <s v="Paid"/>
    <n v="5"/>
    <n v="0.82999999834297922"/>
    <n v="0.17000000165702087"/>
  </r>
  <r>
    <n v="10476"/>
    <s v="PAT-1001"/>
    <s v="Sneha Singh"/>
    <s v="Female"/>
    <n v="47"/>
    <s v="Delhi"/>
    <s v="DOC-102"/>
    <s v="Dr. Alok Verma"/>
    <x v="0"/>
    <n v="12"/>
    <d v="2025-08-22T00:00:00"/>
    <d v="2025-09-05T00:00:00"/>
    <s v="Coronary Artery Disease"/>
    <s v="Completed"/>
    <n v="236255.46"/>
    <n v="146478.39000000001"/>
    <n v="89777.07"/>
    <s v="Paid"/>
    <n v="14"/>
    <n v="0.62000002031699086"/>
    <n v="0.37999997968300925"/>
  </r>
  <r>
    <n v="10477"/>
    <s v="PAT-1008"/>
    <s v="Priya Rao"/>
    <s v="Female"/>
    <n v="37"/>
    <s v="Ghaziabad"/>
    <s v="DOC-106"/>
    <s v="Dr. Neha Sharma"/>
    <x v="2"/>
    <n v="8"/>
    <d v="2025-02-18T00:00:00"/>
    <d v="2025-02-21T00:00:00"/>
    <s v="Knee Replacement Surgery"/>
    <s v="Completed"/>
    <n v="239595.2"/>
    <n v="146153.07"/>
    <n v="93442.13"/>
    <s v="Paid"/>
    <n v="3"/>
    <n v="0.60999999165258734"/>
    <n v="0.39000000834741266"/>
  </r>
  <r>
    <n v="10478"/>
    <s v="PAT-1048"/>
    <s v="Pooja Verma"/>
    <s v="Female"/>
    <n v="39"/>
    <s v="Pune"/>
    <s v="DOC-101"/>
    <s v="Dr. Rajesh Khanna"/>
    <x v="0"/>
    <n v="15"/>
    <d v="2025-09-08T00:00:00"/>
    <d v="2025-09-14T00:00:00"/>
    <s v="Coronary Artery Disease"/>
    <s v="Completed"/>
    <n v="359854.9"/>
    <n v="219511.49"/>
    <n v="140343.41"/>
    <s v="Pending"/>
    <n v="6"/>
    <n v="0.61000000277889777"/>
    <n v="0.38999999722110218"/>
  </r>
  <r>
    <n v="10479"/>
    <s v="PAT-1012"/>
    <s v="Ananya Saxena"/>
    <s v="Male"/>
    <n v="40"/>
    <s v="Delhi"/>
    <s v="DOC-107"/>
    <s v="Dr. Meera Nair"/>
    <x v="1"/>
    <n v="9"/>
    <d v="2025-07-20T00:00:00"/>
    <d v="2025-07-29T00:00:00"/>
    <s v="Pneumonia Management"/>
    <s v="Completed"/>
    <n v="70945.960000000006"/>
    <n v="48952.71"/>
    <n v="21993.25"/>
    <s v="Pending"/>
    <n v="9"/>
    <n v="0.68999996617143522"/>
    <n v="0.31000003382856473"/>
  </r>
  <r>
    <n v="10480"/>
    <s v="PAT-1049"/>
    <s v="Pooja Verma"/>
    <s v="Male"/>
    <n v="48"/>
    <s v="Bangalore"/>
    <s v="DOC-103"/>
    <s v="Dr. Sunita Kapoor"/>
    <x v="3"/>
    <n v="14"/>
    <d v="2025-08-26T00:00:00"/>
    <d v="2025-09-02T00:00:00"/>
    <s v="Acute Ischemic Stroke"/>
    <s v="Completed"/>
    <n v="106755.09"/>
    <n v="67255.710000000006"/>
    <n v="39499.379999999997"/>
    <s v="Paid"/>
    <n v="7"/>
    <n v="0.63000003091187506"/>
    <n v="0.36999996908812499"/>
  </r>
  <r>
    <n v="10481"/>
    <s v="PAT-1045"/>
    <s v="Sneha Sharma"/>
    <s v="Male"/>
    <n v="44"/>
    <s v="Hyderabad"/>
    <s v="DOC-106"/>
    <s v="Dr. Neha Sharma"/>
    <x v="2"/>
    <n v="8"/>
    <d v="2025-09-27T00:00:00"/>
    <d v="2025-10-10T00:00:00"/>
    <s v="Cervical Spondylosis"/>
    <s v="Completed"/>
    <n v="24597.5"/>
    <n v="20415.919999999998"/>
    <n v="4181.58"/>
    <s v="Paid"/>
    <n v="13"/>
    <n v="0.82999979672730961"/>
    <n v="0.1700002032726903"/>
  </r>
  <r>
    <n v="10482"/>
    <s v="PAT-1041"/>
    <s v="Ananya Patel"/>
    <s v="Female"/>
    <n v="66"/>
    <s v="Delhi"/>
    <s v="DOC-104"/>
    <s v="Dr. Vikramaditya Rao"/>
    <x v="3"/>
    <n v="18"/>
    <d v="2025-11-29T00:00:00"/>
    <d v="2025-12-04T00:00:00"/>
    <s v="Acute Ischemic Stroke"/>
    <s v="Completed"/>
    <n v="108054.28"/>
    <n v="89685.05"/>
    <n v="18369.23"/>
    <s v="Paid"/>
    <n v="5"/>
    <n v="0.82999997778894097"/>
    <n v="0.17000002221105912"/>
  </r>
  <r>
    <n v="10483"/>
    <s v="PAT-1007"/>
    <s v="Ananya Kumar"/>
    <s v="Female"/>
    <n v="45"/>
    <s v="Ghaziabad"/>
    <s v="DOC-106"/>
    <s v="Dr. Neha Sharma"/>
    <x v="2"/>
    <n v="8"/>
    <d v="2025-02-23T00:00:00"/>
    <d v="2025-03-07T00:00:00"/>
    <s v="Ligament Tear Repair"/>
    <s v="Follow-up"/>
    <n v="118760.94"/>
    <n v="99759.19"/>
    <n v="19001.75"/>
    <s v="Paid"/>
    <n v="12"/>
    <n v="0.84000000336811076"/>
    <n v="0.15999999663188924"/>
  </r>
  <r>
    <n v="10484"/>
    <s v="PAT-1030"/>
    <s v="Aarav Joshi"/>
    <s v="Male"/>
    <n v="68"/>
    <s v="Faridabad"/>
    <s v="DOC-101"/>
    <s v="Dr. Rajesh Khanna"/>
    <x v="0"/>
    <n v="15"/>
    <d v="2025-06-23T00:00:00"/>
    <d v="2025-07-02T00:00:00"/>
    <s v="Heart Failure Management"/>
    <s v="Completed"/>
    <n v="242604.39"/>
    <n v="206213.73"/>
    <n v="36390.660000000003"/>
    <s v="Paid"/>
    <n v="9"/>
    <n v="0.84999999381709457"/>
    <n v="0.15000000618290543"/>
  </r>
  <r>
    <n v="10485"/>
    <s v="PAT-1015"/>
    <s v="Vikram Verma"/>
    <s v="Male"/>
    <n v="43"/>
    <s v="Mumbai"/>
    <s v="DOC-102"/>
    <s v="Dr. Alok Verma"/>
    <x v="0"/>
    <n v="12"/>
    <d v="2025-02-08T00:00:00"/>
    <d v="2025-02-12T00:00:00"/>
    <s v="Heart Failure Management"/>
    <s v="Completed"/>
    <n v="191451.44"/>
    <n v="153161.15"/>
    <n v="38290.29"/>
    <s v="Paid"/>
    <n v="4"/>
    <n v="0.79999998955348672"/>
    <n v="0.20000001044651322"/>
  </r>
  <r>
    <n v="10486"/>
    <s v="PAT-1020"/>
    <s v="Ritu Verma"/>
    <s v="Female"/>
    <n v="68"/>
    <s v="Gurgaon"/>
    <s v="DOC-106"/>
    <s v="Dr. Neha Sharma"/>
    <x v="2"/>
    <n v="8"/>
    <d v="2025-12-02T00:00:00"/>
    <d v="2025-12-15T00:00:00"/>
    <s v="Ligament Tear Repair"/>
    <s v="Completed"/>
    <n v="71772.399999999994"/>
    <n v="54547.02"/>
    <n v="17225.38"/>
    <s v="Paid"/>
    <n v="13"/>
    <n v="0.75999994426827022"/>
    <n v="0.24000005573172978"/>
  </r>
  <r>
    <n v="10487"/>
    <s v="PAT-1020"/>
    <s v="Ritu Verma"/>
    <s v="Female"/>
    <n v="68"/>
    <s v="Gurgaon"/>
    <s v="DOC-105"/>
    <s v="Dr. Amit Kumar"/>
    <x v="2"/>
    <n v="10"/>
    <d v="2025-08-29T00:00:00"/>
    <d v="2025-09-07T00:00:00"/>
    <s v="Cervical Spondylosis"/>
    <s v="Follow-up"/>
    <n v="40589.949999999997"/>
    <n v="26383.47"/>
    <n v="14206.48"/>
    <s v="Pending"/>
    <n v="9"/>
    <n v="0.65000006159160095"/>
    <n v="0.34999993840839916"/>
  </r>
  <r>
    <n v="10488"/>
    <s v="PAT-1023"/>
    <s v="Neha Rao"/>
    <s v="Male"/>
    <n v="21"/>
    <s v="Pune"/>
    <s v="DOC-101"/>
    <s v="Dr. Rajesh Khanna"/>
    <x v="0"/>
    <n v="15"/>
    <d v="2025-09-20T00:00:00"/>
    <d v="2025-09-24T00:00:00"/>
    <s v="Hypertension &amp; Arrhythmia"/>
    <s v="Completed"/>
    <n v="49467.11"/>
    <n v="30669.61"/>
    <n v="18797.5"/>
    <s v="Paid"/>
    <n v="4"/>
    <n v="0.62000003638781409"/>
    <n v="0.37999996361218596"/>
  </r>
  <r>
    <n v="10489"/>
    <s v="PAT-1014"/>
    <s v="Sneha Gupta"/>
    <s v="Male"/>
    <n v="45"/>
    <s v="Gurgaon"/>
    <s v="DOC-108"/>
    <s v="Dr. Sanjay Gupta"/>
    <x v="1"/>
    <n v="11"/>
    <d v="2025-03-28T00:00:00"/>
    <d v="2025-04-01T00:00:00"/>
    <s v="Acute Viral Fever &amp; Infection"/>
    <s v="Follow-up"/>
    <n v="18261.95"/>
    <n v="11322.41"/>
    <n v="6939.54"/>
    <s v="Paid"/>
    <n v="4"/>
    <n v="0.62000005475866482"/>
    <n v="0.37999994524133512"/>
  </r>
  <r>
    <n v="10490"/>
    <s v="PAT-1017"/>
    <s v="Ritu Saxena"/>
    <s v="Female"/>
    <n v="73"/>
    <s v="Gurgaon"/>
    <s v="DOC-107"/>
    <s v="Dr. Meera Nair"/>
    <x v="1"/>
    <n v="9"/>
    <d v="2025-10-13T00:00:00"/>
    <d v="2025-10-16T00:00:00"/>
    <s v="Typhoid &amp; Severe Dehydration"/>
    <s v="Completed"/>
    <n v="31068.94"/>
    <n v="26408.6"/>
    <n v="4660.34"/>
    <s v="Pending"/>
    <n v="3"/>
    <n v="0.8500000321864859"/>
    <n v="0.14999996781351407"/>
  </r>
  <r>
    <n v="10491"/>
    <s v="PAT-1019"/>
    <s v="Aarav Kapoor"/>
    <s v="Female"/>
    <n v="52"/>
    <s v="Hyderabad"/>
    <s v="DOC-105"/>
    <s v="Dr. Amit Kumar"/>
    <x v="2"/>
    <n v="10"/>
    <d v="2025-03-29T00:00:00"/>
    <d v="2025-04-01T00:00:00"/>
    <s v="Knee Replacement Surgery"/>
    <s v="Completed"/>
    <n v="234686.48"/>
    <n v="173668"/>
    <n v="61018.48"/>
    <s v="Paid"/>
    <n v="3"/>
    <n v="0.74000002045281854"/>
    <n v="0.2599999795471814"/>
  </r>
  <r>
    <n v="10492"/>
    <s v="PAT-1025"/>
    <s v="Ananya Mehta"/>
    <s v="Female"/>
    <n v="23"/>
    <s v="Faridabad"/>
    <s v="DOC-105"/>
    <s v="Dr. Amit Kumar"/>
    <x v="2"/>
    <n v="10"/>
    <d v="2025-10-18T00:00:00"/>
    <d v="2025-11-01T00:00:00"/>
    <s v="Ligament Tear Repair"/>
    <s v="Completed"/>
    <n v="113540.89"/>
    <n v="80614.03"/>
    <n v="32926.86"/>
    <s v="Paid"/>
    <n v="14"/>
    <n v="0.7099999832659406"/>
    <n v="0.29000001673405945"/>
  </r>
  <r>
    <n v="10493"/>
    <s v="PAT-1014"/>
    <s v="Sneha Gupta"/>
    <s v="Male"/>
    <n v="45"/>
    <s v="Gurgaon"/>
    <s v="DOC-101"/>
    <s v="Dr. Rajesh Khanna"/>
    <x v="0"/>
    <n v="15"/>
    <d v="2025-03-19T00:00:00"/>
    <d v="2025-03-31T00:00:00"/>
    <s v="Heart Failure Management"/>
    <s v="Completed"/>
    <n v="202824.45"/>
    <n v="168344.29"/>
    <n v="34480.160000000003"/>
    <s v="Paid"/>
    <n v="12"/>
    <n v="0.8299999827436978"/>
    <n v="0.1700000172563022"/>
  </r>
  <r>
    <n v="10494"/>
    <s v="PAT-1023"/>
    <s v="Neha Rao"/>
    <s v="Male"/>
    <n v="21"/>
    <s v="Pune"/>
    <s v="DOC-102"/>
    <s v="Dr. Alok Verma"/>
    <x v="0"/>
    <n v="12"/>
    <d v="2025-08-22T00:00:00"/>
    <d v="2025-08-30T00:00:00"/>
    <s v="Hypertension &amp; Arrhythmia"/>
    <s v="Completed"/>
    <n v="46317.49"/>
    <n v="34274.94"/>
    <n v="12042.55"/>
    <s v="Paid"/>
    <n v="8"/>
    <n v="0.73999994386569745"/>
    <n v="0.2600000561343026"/>
  </r>
  <r>
    <n v="10495"/>
    <s v="PAT-1010"/>
    <s v="Siddharth Rao"/>
    <s v="Male"/>
    <n v="45"/>
    <s v="Noida"/>
    <s v="DOC-102"/>
    <s v="Dr. Alok Verma"/>
    <x v="0"/>
    <n v="12"/>
    <d v="2025-01-15T00:00:00"/>
    <d v="2025-01-20T00:00:00"/>
    <s v="Coronary Artery Disease"/>
    <s v="Completed"/>
    <n v="406818.91"/>
    <n v="288841.43"/>
    <n v="117977.48"/>
    <s v="Paid"/>
    <n v="5"/>
    <n v="0.71000000958657505"/>
    <n v="0.289999990413425"/>
  </r>
  <r>
    <n v="10496"/>
    <s v="PAT-1011"/>
    <s v="Siddharth Nair"/>
    <s v="Female"/>
    <n v="18"/>
    <s v="Hyderabad"/>
    <s v="DOC-101"/>
    <s v="Dr. Rajesh Khanna"/>
    <x v="0"/>
    <n v="15"/>
    <d v="2025-12-07T00:00:00"/>
    <d v="2025-12-12T00:00:00"/>
    <s v="Coronary Artery Disease"/>
    <s v="Completed"/>
    <n v="432389.66"/>
    <n v="259433.8"/>
    <n v="172955.86"/>
    <s v="Paid"/>
    <n v="5"/>
    <n v="0.60000000925091501"/>
    <n v="0.39999999074908499"/>
  </r>
  <r>
    <n v="10497"/>
    <s v="PAT-1026"/>
    <s v="Manish Gupta"/>
    <s v="Female"/>
    <n v="47"/>
    <s v="Ghaziabad"/>
    <s v="DOC-102"/>
    <s v="Dr. Alok Verma"/>
    <x v="0"/>
    <n v="12"/>
    <d v="2025-01-11T00:00:00"/>
    <d v="2025-01-13T00:00:00"/>
    <s v="Hypertension &amp; Arrhythmia"/>
    <s v="Completed"/>
    <n v="33045.54"/>
    <n v="26766.89"/>
    <n v="6278.65"/>
    <s v="Pending"/>
    <n v="2"/>
    <n v="0.81000007867930135"/>
    <n v="0.18999992132069862"/>
  </r>
  <r>
    <n v="10498"/>
    <s v="PAT-1046"/>
    <s v="Amit Mehta"/>
    <s v="Male"/>
    <n v="49"/>
    <s v="Delhi"/>
    <s v="DOC-108"/>
    <s v="Dr. Sanjay Gupta"/>
    <x v="1"/>
    <n v="11"/>
    <d v="2025-02-05T00:00:00"/>
    <d v="2025-02-12T00:00:00"/>
    <s v="Pneumonia Management"/>
    <s v="Completed"/>
    <n v="67313.14"/>
    <n v="57216.17"/>
    <n v="10096.969999999999"/>
    <s v="Paid"/>
    <n v="7"/>
    <n v="0.85000001485594046"/>
    <n v="0.14999998514405954"/>
  </r>
  <r>
    <n v="10499"/>
    <s v="PAT-1014"/>
    <s v="Sneha Gupta"/>
    <s v="Male"/>
    <n v="45"/>
    <s v="Gurgaon"/>
    <s v="DOC-101"/>
    <s v="Dr. Rajesh Khanna"/>
    <x v="0"/>
    <n v="15"/>
    <d v="2025-04-11T00:00:00"/>
    <d v="2025-04-21T00:00:00"/>
    <s v="Coronary Artery Disease"/>
    <s v="Follow-up"/>
    <n v="335385.15999999997"/>
    <n v="214646.5"/>
    <n v="120738.66"/>
    <s v="Paid"/>
    <n v="10"/>
    <n v="0.6399999928440484"/>
    <n v="0.36000000715595171"/>
  </r>
  <r>
    <n v="10500"/>
    <s v="PAT-1031"/>
    <s v="Kavya Kumar"/>
    <s v="Male"/>
    <n v="53"/>
    <s v="Jaipur"/>
    <s v="DOC-104"/>
    <s v="Dr. Vikramaditya Rao"/>
    <x v="3"/>
    <n v="18"/>
    <d v="2025-08-12T00:00:00"/>
    <d v="2025-08-19T00:00:00"/>
    <s v="Epilepsy Monitoring"/>
    <s v="Completed"/>
    <n v="30992.65"/>
    <n v="20455.150000000001"/>
    <n v="10537.5"/>
    <s v="Pending"/>
    <n v="7"/>
    <n v="0.66000003226571458"/>
    <n v="0.33999996773428537"/>
  </r>
  <r>
    <n v="10501"/>
    <s v="PAT-1001"/>
    <s v="Sneha Singh"/>
    <s v="Female"/>
    <n v="47"/>
    <s v="Delhi"/>
    <s v="DOC-105"/>
    <s v="Dr. Amit Kumar"/>
    <x v="2"/>
    <n v="10"/>
    <d v="2025-06-01T00:00:00"/>
    <d v="2025-06-15T00:00:00"/>
    <s v="Knee Replacement Surgery"/>
    <s v="Completed"/>
    <n v="310313.21000000002"/>
    <n v="217219.25"/>
    <n v="93093.96"/>
    <s v="Paid"/>
    <n v="14"/>
    <n v="0.70000000966765152"/>
    <n v="0.29999999033234842"/>
  </r>
  <r>
    <n v="10502"/>
    <s v="PAT-1017"/>
    <s v="Ritu Saxena"/>
    <s v="Female"/>
    <n v="73"/>
    <s v="Gurgaon"/>
    <s v="DOC-106"/>
    <s v="Dr. Neha Sharma"/>
    <x v="2"/>
    <n v="8"/>
    <d v="2025-03-05T00:00:00"/>
    <d v="2025-03-18T00:00:00"/>
    <s v="Knee Replacement Surgery"/>
    <s v="Completed"/>
    <n v="228577.72"/>
    <n v="157718.63"/>
    <n v="70859.09"/>
    <s v="Paid"/>
    <n v="13"/>
    <n v="0.69000001399961464"/>
    <n v="0.30999998600038531"/>
  </r>
  <r>
    <n v="10503"/>
    <s v="PAT-1046"/>
    <s v="Amit Mehta"/>
    <s v="Male"/>
    <n v="49"/>
    <s v="Delhi"/>
    <s v="DOC-104"/>
    <s v="Dr. Vikramaditya Rao"/>
    <x v="3"/>
    <n v="18"/>
    <d v="2025-11-12T00:00:00"/>
    <d v="2025-11-15T00:00:00"/>
    <s v="Epilepsy Monitoring"/>
    <s v="Completed"/>
    <n v="55955.45"/>
    <n v="39728.370000000003"/>
    <n v="16227.08"/>
    <s v="Paid"/>
    <n v="3"/>
    <n v="0.71000000893568016"/>
    <n v="0.28999999106431995"/>
  </r>
  <r>
    <n v="10504"/>
    <s v="PAT-1024"/>
    <s v="Rahul Nair"/>
    <s v="Female"/>
    <n v="47"/>
    <s v="Delhi"/>
    <s v="DOC-101"/>
    <s v="Dr. Rajesh Khanna"/>
    <x v="0"/>
    <n v="15"/>
    <d v="2025-05-29T00:00:00"/>
    <d v="2025-06-02T00:00:00"/>
    <s v="Heart Failure Management"/>
    <s v="Completed"/>
    <n v="91656.25"/>
    <n v="55910.31"/>
    <n v="35745.94"/>
    <s v="Paid"/>
    <n v="4"/>
    <n v="0.60999997272417317"/>
    <n v="0.39000002727582683"/>
  </r>
  <r>
    <n v="10505"/>
    <s v="PAT-1036"/>
    <s v="Rohan Joshi"/>
    <s v="Male"/>
    <n v="41"/>
    <s v="Delhi"/>
    <s v="DOC-108"/>
    <s v="Dr. Sanjay Gupta"/>
    <x v="1"/>
    <n v="11"/>
    <d v="2025-09-04T00:00:00"/>
    <d v="2025-09-13T00:00:00"/>
    <s v="Typhoid &amp; Severe Dehydration"/>
    <s v="Completed"/>
    <n v="29076.47"/>
    <n v="18318.18"/>
    <n v="10758.29"/>
    <s v="Paid"/>
    <n v="9"/>
    <n v="0.63000013412907407"/>
    <n v="0.36999986587092587"/>
  </r>
  <r>
    <n v="10506"/>
    <s v="PAT-1016"/>
    <s v="Manish Kumar"/>
    <s v="Female"/>
    <n v="28"/>
    <s v="Hyderabad"/>
    <s v="DOC-102"/>
    <s v="Dr. Alok Verma"/>
    <x v="0"/>
    <n v="12"/>
    <d v="2025-04-30T00:00:00"/>
    <d v="2025-05-07T00:00:00"/>
    <s v="Hypertension &amp; Arrhythmia"/>
    <s v="Completed"/>
    <n v="36291.269999999997"/>
    <n v="26492.63"/>
    <n v="9798.64"/>
    <s v="Paid"/>
    <n v="7"/>
    <n v="0.73000007990902505"/>
    <n v="0.26999992009097507"/>
  </r>
  <r>
    <n v="10507"/>
    <s v="PAT-1020"/>
    <s v="Ritu Verma"/>
    <s v="Female"/>
    <n v="68"/>
    <s v="Gurgaon"/>
    <s v="DOC-103"/>
    <s v="Dr. Sunita Kapoor"/>
    <x v="3"/>
    <n v="14"/>
    <d v="2025-04-15T00:00:00"/>
    <d v="2025-04-28T00:00:00"/>
    <s v="Epilepsy Monitoring"/>
    <s v="Completed"/>
    <n v="82475.39"/>
    <n v="53609"/>
    <n v="28866.39"/>
    <s v="Paid"/>
    <n v="13"/>
    <n v="0.64999995756309847"/>
    <n v="0.35000004243690147"/>
  </r>
  <r>
    <n v="10508"/>
    <s v="PAT-1041"/>
    <s v="Ananya Patel"/>
    <s v="Female"/>
    <n v="66"/>
    <s v="Delhi"/>
    <s v="DOC-108"/>
    <s v="Dr. Sanjay Gupta"/>
    <x v="1"/>
    <n v="11"/>
    <d v="2025-08-26T00:00:00"/>
    <d v="2025-09-04T00:00:00"/>
    <s v="Acute Viral Fever &amp; Infection"/>
    <s v="Completed"/>
    <n v="18821.189999999999"/>
    <n v="12986.62"/>
    <n v="5834.57"/>
    <s v="Paid"/>
    <n v="9"/>
    <n v="0.68999994155523647"/>
    <n v="0.31000005844476358"/>
  </r>
  <r>
    <n v="10509"/>
    <s v="PAT-1014"/>
    <s v="Sneha Gupta"/>
    <s v="Male"/>
    <n v="45"/>
    <s v="Gurgaon"/>
    <s v="DOC-106"/>
    <s v="Dr. Neha Sharma"/>
    <x v="2"/>
    <n v="8"/>
    <d v="2025-10-27T00:00:00"/>
    <d v="2025-11-01T00:00:00"/>
    <s v="Cervical Spondylosis"/>
    <s v="Completed"/>
    <n v="55312.15"/>
    <n v="36506.019999999997"/>
    <n v="18806.13"/>
    <s v="Paid"/>
    <n v="5"/>
    <n v="0.66000001807921038"/>
    <n v="0.33999998192078956"/>
  </r>
  <r>
    <n v="10510"/>
    <s v="PAT-1030"/>
    <s v="Aarav Joshi"/>
    <s v="Male"/>
    <n v="68"/>
    <s v="Faridabad"/>
    <s v="DOC-102"/>
    <s v="Dr. Alok Verma"/>
    <x v="0"/>
    <n v="12"/>
    <d v="2025-02-11T00:00:00"/>
    <d v="2025-02-19T00:00:00"/>
    <s v="Heart Failure Management"/>
    <s v="Completed"/>
    <n v="221915.05"/>
    <n v="150902.23000000001"/>
    <n v="71012.820000000007"/>
    <s v="Pending"/>
    <n v="8"/>
    <n v="0.67999998197508471"/>
    <n v="0.32000001802491546"/>
  </r>
  <r>
    <n v="10511"/>
    <s v="PAT-1033"/>
    <s v="Vikram Joshi"/>
    <s v="Female"/>
    <n v="75"/>
    <s v="Bangalore"/>
    <s v="DOC-101"/>
    <s v="Dr. Rajesh Khanna"/>
    <x v="0"/>
    <n v="15"/>
    <d v="2025-07-12T00:00:00"/>
    <d v="2025-07-15T00:00:00"/>
    <s v="Hypertension &amp; Arrhythmia"/>
    <s v="Completed"/>
    <n v="48547.28"/>
    <n v="32526.68"/>
    <n v="16020.6"/>
    <s v="Paid"/>
    <n v="3"/>
    <n v="0.67000004943634328"/>
    <n v="0.32999995056365672"/>
  </r>
  <r>
    <n v="10512"/>
    <s v="PAT-1032"/>
    <s v="Rahul Joshi"/>
    <s v="Female"/>
    <n v="19"/>
    <s v="Gurgaon"/>
    <s v="DOC-103"/>
    <s v="Dr. Sunita Kapoor"/>
    <x v="3"/>
    <n v="14"/>
    <d v="2025-08-31T00:00:00"/>
    <d v="2025-09-12T00:00:00"/>
    <s v="Epilepsy Monitoring"/>
    <s v="Completed"/>
    <n v="94168.85"/>
    <n v="64976.51"/>
    <n v="29192.34"/>
    <s v="Paid"/>
    <n v="12"/>
    <n v="0.69000003716727987"/>
    <n v="0.30999996283272013"/>
  </r>
  <r>
    <n v="10513"/>
    <s v="PAT-1016"/>
    <s v="Manish Kumar"/>
    <s v="Female"/>
    <n v="28"/>
    <s v="Hyderabad"/>
    <s v="DOC-104"/>
    <s v="Dr. Vikramaditya Rao"/>
    <x v="3"/>
    <n v="18"/>
    <d v="2025-11-19T00:00:00"/>
    <d v="2025-11-22T00:00:00"/>
    <s v="Migraine &amp; Nerve Compression"/>
    <s v="Completed"/>
    <n v="24873.97"/>
    <n v="18406.740000000002"/>
    <n v="6467.23"/>
    <s v="Paid"/>
    <n v="3"/>
    <n v="0.74000008844587339"/>
    <n v="0.25999991155412661"/>
  </r>
  <r>
    <n v="10514"/>
    <s v="PAT-1017"/>
    <s v="Ritu Saxena"/>
    <s v="Female"/>
    <n v="73"/>
    <s v="Gurgaon"/>
    <s v="DOC-103"/>
    <s v="Dr. Sunita Kapoor"/>
    <x v="3"/>
    <n v="14"/>
    <d v="2025-08-30T00:00:00"/>
    <d v="2025-09-07T00:00:00"/>
    <s v="Acute Ischemic Stroke"/>
    <s v="Completed"/>
    <n v="155551.14000000001"/>
    <n v="99552.73"/>
    <n v="55998.41"/>
    <s v="Pending"/>
    <n v="8"/>
    <n v="0.64000000257150147"/>
    <n v="0.35999999742849842"/>
  </r>
  <r>
    <n v="10515"/>
    <s v="PAT-1017"/>
    <s v="Ritu Saxena"/>
    <s v="Female"/>
    <n v="73"/>
    <s v="Gurgaon"/>
    <s v="DOC-105"/>
    <s v="Dr. Amit Kumar"/>
    <x v="2"/>
    <n v="10"/>
    <d v="2025-03-10T00:00:00"/>
    <d v="2025-03-16T00:00:00"/>
    <s v="Ligament Tear Repair"/>
    <s v="Follow-up"/>
    <n v="115164.76"/>
    <n v="78312.039999999994"/>
    <n v="36852.720000000001"/>
    <s v="Paid"/>
    <n v="6"/>
    <n v="0.68000002778627766"/>
    <n v="0.31999997221372234"/>
  </r>
  <r>
    <n v="10516"/>
    <s v="PAT-1028"/>
    <s v="Vikram Kumar"/>
    <s v="Male"/>
    <n v="18"/>
    <s v="Delhi"/>
    <s v="DOC-106"/>
    <s v="Dr. Neha Sharma"/>
    <x v="2"/>
    <n v="8"/>
    <d v="2025-07-07T00:00:00"/>
    <d v="2025-07-10T00:00:00"/>
    <s v="Cervical Spondylosis"/>
    <s v="Completed"/>
    <n v="55417.67"/>
    <n v="42117.43"/>
    <n v="13300.24"/>
    <s v="Pending"/>
    <n v="3"/>
    <n v="0.76000001443582887"/>
    <n v="0.23999998556417115"/>
  </r>
  <r>
    <n v="10517"/>
    <s v="PAT-1002"/>
    <s v="Amit Saxena"/>
    <s v="Male"/>
    <n v="56"/>
    <s v="Ghaziabad"/>
    <s v="DOC-106"/>
    <s v="Dr. Neha Sharma"/>
    <x v="2"/>
    <n v="8"/>
    <d v="2025-09-03T00:00:00"/>
    <d v="2025-09-05T00:00:00"/>
    <s v="Knee Replacement Surgery"/>
    <s v="Completed"/>
    <n v="294956.79999999999"/>
    <n v="179923.65"/>
    <n v="115033.15"/>
    <s v="Paid"/>
    <n v="2"/>
    <n v="0.61000000678065402"/>
    <n v="0.38999999321934603"/>
  </r>
  <r>
    <n v="10518"/>
    <s v="PAT-1040"/>
    <s v="Pooja Mehta"/>
    <s v="Male"/>
    <n v="74"/>
    <s v="Bangalore"/>
    <s v="DOC-108"/>
    <s v="Dr. Sanjay Gupta"/>
    <x v="1"/>
    <n v="11"/>
    <d v="2025-02-22T00:00:00"/>
    <d v="2025-03-03T00:00:00"/>
    <s v="Acute Viral Fever &amp; Infection"/>
    <s v="Follow-up"/>
    <n v="16424.439999999999"/>
    <n v="10347.4"/>
    <n v="6077.04"/>
    <s v="Paid"/>
    <n v="9"/>
    <n v="0.63000017047765411"/>
    <n v="0.369999829522346"/>
  </r>
  <r>
    <n v="10519"/>
    <s v="PAT-1036"/>
    <s v="Rohan Joshi"/>
    <s v="Male"/>
    <n v="41"/>
    <s v="Delhi"/>
    <s v="DOC-106"/>
    <s v="Dr. Neha Sharma"/>
    <x v="2"/>
    <n v="8"/>
    <d v="2025-05-21T00:00:00"/>
    <d v="2025-05-24T00:00:00"/>
    <s v="Cervical Spondylosis"/>
    <s v="Follow-up"/>
    <n v="30620.240000000002"/>
    <n v="23577.58"/>
    <n v="7042.66"/>
    <s v="Paid"/>
    <n v="3"/>
    <n v="0.76999984324094128"/>
    <n v="0.23000015675905869"/>
  </r>
  <r>
    <n v="10520"/>
    <s v="PAT-1004"/>
    <s v="Neha Patel"/>
    <s v="Male"/>
    <n v="34"/>
    <s v="Ghaziabad"/>
    <s v="DOC-107"/>
    <s v="Dr. Meera Nair"/>
    <x v="1"/>
    <n v="9"/>
    <d v="2025-04-10T00:00:00"/>
    <d v="2025-04-18T00:00:00"/>
    <s v="Acute Viral Fever &amp; Infection"/>
    <s v="Completed"/>
    <n v="9873.5300000000007"/>
    <n v="7306.41"/>
    <n v="2567.12"/>
    <s v="Paid"/>
    <n v="8"/>
    <n v="0.73999977718202092"/>
    <n v="0.26000022281797897"/>
  </r>
  <r>
    <n v="10521"/>
    <s v="PAT-1044"/>
    <s v="Pooja Singh"/>
    <s v="Male"/>
    <n v="67"/>
    <s v="Hyderabad"/>
    <s v="DOC-101"/>
    <s v="Dr. Rajesh Khanna"/>
    <x v="0"/>
    <n v="15"/>
    <d v="2025-01-06T00:00:00"/>
    <d v="2025-01-16T00:00:00"/>
    <s v="Hypertension &amp; Arrhythmia"/>
    <s v="Completed"/>
    <n v="67003.97"/>
    <n v="46902.78"/>
    <n v="20101.189999999999"/>
    <s v="Paid"/>
    <n v="10"/>
    <n v="0.70000001492448882"/>
    <n v="0.29999998507551118"/>
  </r>
  <r>
    <n v="10522"/>
    <s v="PAT-1010"/>
    <s v="Siddharth Rao"/>
    <s v="Male"/>
    <n v="45"/>
    <s v="Noida"/>
    <s v="DOC-104"/>
    <s v="Dr. Vikramaditya Rao"/>
    <x v="3"/>
    <n v="18"/>
    <d v="2025-11-13T00:00:00"/>
    <d v="2025-11-25T00:00:00"/>
    <s v="Acute Ischemic Stroke"/>
    <s v="Completed"/>
    <n v="106381.28"/>
    <n v="87232.65"/>
    <n v="19148.63"/>
    <s v="Paid"/>
    <n v="12"/>
    <n v="0.82000000376005999"/>
    <n v="0.17999999623993998"/>
  </r>
  <r>
    <n v="10523"/>
    <s v="PAT-1023"/>
    <s v="Neha Rao"/>
    <s v="Male"/>
    <n v="21"/>
    <s v="Pune"/>
    <s v="DOC-105"/>
    <s v="Dr. Amit Kumar"/>
    <x v="2"/>
    <n v="10"/>
    <d v="2025-06-10T00:00:00"/>
    <d v="2025-06-21T00:00:00"/>
    <s v="Ligament Tear Repair"/>
    <s v="Completed"/>
    <n v="105271.38"/>
    <n v="65268.26"/>
    <n v="40003.120000000003"/>
    <s v="Paid"/>
    <n v="11"/>
    <n v="0.62000004179673529"/>
    <n v="0.37999995820326476"/>
  </r>
  <r>
    <n v="10524"/>
    <s v="PAT-1032"/>
    <s v="Rahul Joshi"/>
    <s v="Female"/>
    <n v="19"/>
    <s v="Gurgaon"/>
    <s v="DOC-104"/>
    <s v="Dr. Vikramaditya Rao"/>
    <x v="3"/>
    <n v="18"/>
    <d v="2025-05-18T00:00:00"/>
    <d v="2025-05-23T00:00:00"/>
    <s v="Epilepsy Monitoring"/>
    <s v="Completed"/>
    <n v="87885.66"/>
    <n v="53610.25"/>
    <n v="34275.410000000003"/>
    <s v="Paid"/>
    <n v="5"/>
    <n v="0.60999997041610654"/>
    <n v="0.39000002958389346"/>
  </r>
  <r>
    <n v="10525"/>
    <s v="PAT-1003"/>
    <s v="Manish Mehta"/>
    <s v="Female"/>
    <n v="62"/>
    <s v="Ghaziabad"/>
    <s v="DOC-101"/>
    <s v="Dr. Rajesh Khanna"/>
    <x v="0"/>
    <n v="15"/>
    <d v="2025-04-06T00:00:00"/>
    <d v="2025-04-12T00:00:00"/>
    <s v="Coronary Artery Disease"/>
    <s v="Completed"/>
    <n v="349213.06"/>
    <n v="265401.93"/>
    <n v="83811.13"/>
    <s v="Pending"/>
    <n v="6"/>
    <n v="0.7600000125997578"/>
    <n v="0.23999998740024214"/>
  </r>
  <r>
    <n v="10526"/>
    <s v="PAT-1030"/>
    <s v="Aarav Joshi"/>
    <s v="Male"/>
    <n v="68"/>
    <s v="Faridabad"/>
    <s v="DOC-104"/>
    <s v="Dr. Vikramaditya Rao"/>
    <x v="3"/>
    <n v="18"/>
    <d v="2025-09-09T00:00:00"/>
    <d v="2025-09-14T00:00:00"/>
    <s v="Migraine &amp; Nerve Compression"/>
    <s v="Completed"/>
    <n v="17307.990000000002"/>
    <n v="11077.11"/>
    <n v="6230.88"/>
    <s v="Paid"/>
    <n v="5"/>
    <n v="0.63999979200357748"/>
    <n v="0.36000020799642246"/>
  </r>
  <r>
    <n v="10527"/>
    <s v="PAT-1042"/>
    <s v="Ananya Sharma"/>
    <s v="Female"/>
    <n v="65"/>
    <s v="Hyderabad"/>
    <s v="DOC-103"/>
    <s v="Dr. Sunita Kapoor"/>
    <x v="3"/>
    <n v="14"/>
    <d v="2025-11-13T00:00:00"/>
    <d v="2025-11-19T00:00:00"/>
    <s v="Epilepsy Monitoring"/>
    <s v="Completed"/>
    <n v="69082.63"/>
    <n v="49739.49"/>
    <n v="19343.14"/>
    <s v="Paid"/>
    <n v="6"/>
    <n v="0.71999994788849231"/>
    <n v="0.28000005211150758"/>
  </r>
  <r>
    <n v="10528"/>
    <s v="PAT-1015"/>
    <s v="Vikram Verma"/>
    <s v="Male"/>
    <n v="43"/>
    <s v="Mumbai"/>
    <s v="DOC-102"/>
    <s v="Dr. Alok Verma"/>
    <x v="0"/>
    <n v="12"/>
    <d v="2025-06-23T00:00:00"/>
    <d v="2025-07-06T00:00:00"/>
    <s v="Hypertension &amp; Arrhythmia"/>
    <s v="Completed"/>
    <n v="61408.65"/>
    <n v="49741.01"/>
    <n v="11667.64"/>
    <s v="Pending"/>
    <n v="13"/>
    <n v="0.81000005699522792"/>
    <n v="0.1899999430047721"/>
  </r>
  <r>
    <n v="10529"/>
    <s v="PAT-1015"/>
    <s v="Vikram Verma"/>
    <s v="Male"/>
    <n v="43"/>
    <s v="Mumbai"/>
    <s v="DOC-101"/>
    <s v="Dr. Rajesh Khanna"/>
    <x v="0"/>
    <n v="15"/>
    <d v="2025-06-28T00:00:00"/>
    <d v="2025-07-05T00:00:00"/>
    <s v="Heart Failure Management"/>
    <s v="Completed"/>
    <n v="233499.11"/>
    <n v="142434.46"/>
    <n v="91064.65"/>
    <s v="Paid"/>
    <n v="7"/>
    <n v="0.61000001241974755"/>
    <n v="0.38999998758025245"/>
  </r>
  <r>
    <n v="10530"/>
    <s v="PAT-1035"/>
    <s v="Rahul Verma"/>
    <s v="Male"/>
    <n v="27"/>
    <s v="Noida"/>
    <s v="DOC-106"/>
    <s v="Dr. Neha Sharma"/>
    <x v="2"/>
    <n v="8"/>
    <d v="2025-09-26T00:00:00"/>
    <d v="2025-10-02T00:00:00"/>
    <s v="Ligament Tear Repair"/>
    <s v="Completed"/>
    <n v="53072.97"/>
    <n v="32905.24"/>
    <n v="20167.73"/>
    <s v="Paid"/>
    <n v="6"/>
    <n v="0.61999997362122372"/>
    <n v="0.38000002637877622"/>
  </r>
  <r>
    <n v="10531"/>
    <s v="PAT-1014"/>
    <s v="Sneha Gupta"/>
    <s v="Male"/>
    <n v="45"/>
    <s v="Gurgaon"/>
    <s v="DOC-105"/>
    <s v="Dr. Amit Kumar"/>
    <x v="2"/>
    <n v="10"/>
    <d v="2025-04-21T00:00:00"/>
    <d v="2025-05-02T00:00:00"/>
    <s v="Cervical Spondylosis"/>
    <s v="Completed"/>
    <n v="40491.33"/>
    <n v="31178.32"/>
    <n v="9313.01"/>
    <s v="Paid"/>
    <n v="11"/>
    <n v="0.76999989874375574"/>
    <n v="0.23000010125624423"/>
  </r>
  <r>
    <n v="10532"/>
    <s v="PAT-1032"/>
    <s v="Rahul Joshi"/>
    <s v="Female"/>
    <n v="19"/>
    <s v="Gurgaon"/>
    <s v="DOC-107"/>
    <s v="Dr. Meera Nair"/>
    <x v="1"/>
    <n v="9"/>
    <d v="2025-10-22T00:00:00"/>
    <d v="2025-11-05T00:00:00"/>
    <s v="Acute Viral Fever &amp; Infection"/>
    <s v="Completed"/>
    <n v="13950.88"/>
    <n v="10881.69"/>
    <n v="3069.19"/>
    <s v="Pending"/>
    <n v="14"/>
    <n v="0.78000025804823792"/>
    <n v="0.2199997419517622"/>
  </r>
  <r>
    <n v="10533"/>
    <s v="PAT-1038"/>
    <s v="Rahul Kumar"/>
    <s v="Male"/>
    <n v="26"/>
    <s v="Hyderabad"/>
    <s v="DOC-108"/>
    <s v="Dr. Sanjay Gupta"/>
    <x v="1"/>
    <n v="11"/>
    <d v="2025-09-19T00:00:00"/>
    <d v="2025-09-26T00:00:00"/>
    <s v="Pneumonia Management"/>
    <s v="Completed"/>
    <n v="55178.77"/>
    <n v="40832.29"/>
    <n v="14346.48"/>
    <s v="Paid"/>
    <n v="7"/>
    <n v="0.74000000362458251"/>
    <n v="0.2599999963754176"/>
  </r>
  <r>
    <n v="10534"/>
    <s v="PAT-1009"/>
    <s v="Priya Kumar"/>
    <s v="Female"/>
    <n v="60"/>
    <s v="Faridabad"/>
    <s v="DOC-106"/>
    <s v="Dr. Neha Sharma"/>
    <x v="2"/>
    <n v="8"/>
    <d v="2025-02-18T00:00:00"/>
    <d v="2025-03-02T00:00:00"/>
    <s v="Cervical Spondylosis"/>
    <s v="Follow-up"/>
    <n v="32907.949999999997"/>
    <n v="20402.93"/>
    <n v="12505.02"/>
    <s v="Paid"/>
    <n v="12"/>
    <n v="0.62000003038779394"/>
    <n v="0.37999996961220622"/>
  </r>
  <r>
    <n v="10535"/>
    <s v="PAT-1050"/>
    <s v="Priya Mehta"/>
    <s v="Male"/>
    <n v="33"/>
    <s v="Mumbai"/>
    <s v="DOC-103"/>
    <s v="Dr. Sunita Kapoor"/>
    <x v="3"/>
    <n v="14"/>
    <d v="2025-03-15T00:00:00"/>
    <d v="2025-03-24T00:00:00"/>
    <s v="Migraine &amp; Nerve Compression"/>
    <s v="Completed"/>
    <n v="25690.48"/>
    <n v="21066.19"/>
    <n v="4624.29"/>
    <s v="Pending"/>
    <n v="9"/>
    <n v="0.81999985987027102"/>
    <n v="0.18000014012972898"/>
  </r>
  <r>
    <n v="10536"/>
    <s v="PAT-1033"/>
    <s v="Vikram Joshi"/>
    <s v="Female"/>
    <n v="75"/>
    <s v="Bangalore"/>
    <s v="DOC-107"/>
    <s v="Dr. Meera Nair"/>
    <x v="1"/>
    <n v="9"/>
    <d v="2025-09-03T00:00:00"/>
    <d v="2025-09-17T00:00:00"/>
    <s v="Pneumonia Management"/>
    <s v="Completed"/>
    <n v="56571.78"/>
    <n v="46954.58"/>
    <n v="9617.2000000000007"/>
    <s v="Paid"/>
    <n v="14"/>
    <n v="0.83000004595931054"/>
    <n v="0.16999995404068957"/>
  </r>
  <r>
    <n v="10537"/>
    <s v="PAT-1039"/>
    <s v="Rahul Saxena"/>
    <s v="Female"/>
    <n v="37"/>
    <s v="Faridabad"/>
    <s v="DOC-103"/>
    <s v="Dr. Sunita Kapoor"/>
    <x v="3"/>
    <n v="14"/>
    <d v="2025-05-08T00:00:00"/>
    <d v="2025-05-14T00:00:00"/>
    <s v="Acute Ischemic Stroke"/>
    <s v="Follow-up"/>
    <n v="202369.64"/>
    <n v="125469.18"/>
    <n v="76900.460000000006"/>
    <s v="Paid"/>
    <n v="6"/>
    <n v="0.62000001581264852"/>
    <n v="0.37999998418735143"/>
  </r>
  <r>
    <n v="10538"/>
    <s v="PAT-1041"/>
    <s v="Ananya Patel"/>
    <s v="Female"/>
    <n v="66"/>
    <s v="Delhi"/>
    <s v="DOC-107"/>
    <s v="Dr. Meera Nair"/>
    <x v="1"/>
    <n v="9"/>
    <d v="2025-11-13T00:00:00"/>
    <d v="2025-11-26T00:00:00"/>
    <s v="Pneumonia Management"/>
    <s v="Follow-up"/>
    <n v="62130.01"/>
    <n v="52810.51"/>
    <n v="9319.5"/>
    <s v="Paid"/>
    <n v="13"/>
    <n v="0.85000002414292219"/>
    <n v="0.14999997585707775"/>
  </r>
  <r>
    <n v="10539"/>
    <s v="PAT-1030"/>
    <s v="Aarav Joshi"/>
    <s v="Male"/>
    <n v="68"/>
    <s v="Faridabad"/>
    <s v="DOC-105"/>
    <s v="Dr. Amit Kumar"/>
    <x v="2"/>
    <n v="10"/>
    <d v="2025-06-13T00:00:00"/>
    <d v="2025-06-23T00:00:00"/>
    <s v="Knee Replacement Surgery"/>
    <s v="Completed"/>
    <n v="332548.71000000002"/>
    <n v="252737.02"/>
    <n v="79811.69"/>
    <s v="Paid"/>
    <n v="10"/>
    <n v="0.76000000120283118"/>
    <n v="0.23999999879716868"/>
  </r>
  <r>
    <n v="10540"/>
    <s v="PAT-1029"/>
    <s v="Amit Rao"/>
    <s v="Female"/>
    <n v="59"/>
    <s v="Jaipur"/>
    <s v="DOC-107"/>
    <s v="Dr. Meera Nair"/>
    <x v="1"/>
    <n v="9"/>
    <d v="2025-04-16T00:00:00"/>
    <d v="2025-04-18T00:00:00"/>
    <s v="Typhoid &amp; Severe Dehydration"/>
    <s v="Follow-up"/>
    <n v="13918.09"/>
    <n v="10160.209999999999"/>
    <n v="3757.88"/>
    <s v="Paid"/>
    <n v="2"/>
    <n v="0.73000030895043777"/>
    <n v="0.26999969104956212"/>
  </r>
  <r>
    <n v="10541"/>
    <s v="PAT-1037"/>
    <s v="Kavya Kumar"/>
    <s v="Male"/>
    <n v="61"/>
    <s v="Mumbai"/>
    <s v="DOC-107"/>
    <s v="Dr. Meera Nair"/>
    <x v="1"/>
    <n v="9"/>
    <d v="2025-04-10T00:00:00"/>
    <d v="2025-04-13T00:00:00"/>
    <s v="Pneumonia Management"/>
    <s v="Completed"/>
    <n v="52259.42"/>
    <n v="38671.97"/>
    <n v="13587.45"/>
    <s v="Paid"/>
    <n v="3"/>
    <n v="0.7399999846917551"/>
    <n v="0.2600000153082449"/>
  </r>
  <r>
    <n v="10542"/>
    <s v="PAT-1042"/>
    <s v="Ananya Sharma"/>
    <s v="Female"/>
    <n v="65"/>
    <s v="Hyderabad"/>
    <s v="DOC-102"/>
    <s v="Dr. Alok Verma"/>
    <x v="0"/>
    <n v="12"/>
    <d v="2025-03-11T00:00:00"/>
    <d v="2025-03-21T00:00:00"/>
    <s v="Hypertension &amp; Arrhythmia"/>
    <s v="Completed"/>
    <n v="64410.64"/>
    <n v="51528.51"/>
    <n v="12882.13"/>
    <s v="Paid"/>
    <n v="10"/>
    <n v="0.79999996894922953"/>
    <n v="0.20000003105077049"/>
  </r>
  <r>
    <n v="10543"/>
    <s v="PAT-1030"/>
    <s v="Aarav Joshi"/>
    <s v="Male"/>
    <n v="68"/>
    <s v="Faridabad"/>
    <s v="DOC-103"/>
    <s v="Dr. Sunita Kapoor"/>
    <x v="3"/>
    <n v="14"/>
    <d v="2025-07-06T00:00:00"/>
    <d v="2025-07-17T00:00:00"/>
    <s v="Migraine &amp; Nerve Compression"/>
    <s v="Follow-up"/>
    <n v="40646.68"/>
    <n v="27639.74"/>
    <n v="13006.94"/>
    <s v="Pending"/>
    <n v="11"/>
    <n v="0.67999994095458727"/>
    <n v="0.32000005904541284"/>
  </r>
  <r>
    <n v="10544"/>
    <s v="PAT-1025"/>
    <s v="Ananya Mehta"/>
    <s v="Female"/>
    <n v="23"/>
    <s v="Faridabad"/>
    <s v="DOC-102"/>
    <s v="Dr. Alok Verma"/>
    <x v="0"/>
    <n v="12"/>
    <d v="2025-02-07T00:00:00"/>
    <d v="2025-02-21T00:00:00"/>
    <s v="Hypertension &amp; Arrhythmia"/>
    <s v="Completed"/>
    <n v="66771.17"/>
    <n v="44068.97"/>
    <n v="22702.2"/>
    <s v="Paid"/>
    <n v="14"/>
    <n v="0.65999996705164821"/>
    <n v="0.34000003294835185"/>
  </r>
  <r>
    <n v="10545"/>
    <s v="PAT-1046"/>
    <s v="Amit Mehta"/>
    <s v="Male"/>
    <n v="49"/>
    <s v="Delhi"/>
    <s v="DOC-103"/>
    <s v="Dr. Sunita Kapoor"/>
    <x v="3"/>
    <n v="14"/>
    <d v="2025-06-16T00:00:00"/>
    <d v="2025-06-19T00:00:00"/>
    <s v="Acute Ischemic Stroke"/>
    <s v="Completed"/>
    <n v="193901.16"/>
    <n v="143486.85999999999"/>
    <n v="50414.3"/>
    <s v="Paid"/>
    <n v="3"/>
    <n v="0.74000000825162671"/>
    <n v="0.25999999174837324"/>
  </r>
  <r>
    <n v="10546"/>
    <s v="PAT-1034"/>
    <s v="Siddharth Kumar"/>
    <s v="Male"/>
    <n v="65"/>
    <s v="Ghaziabad"/>
    <s v="DOC-104"/>
    <s v="Dr. Vikramaditya Rao"/>
    <x v="3"/>
    <n v="18"/>
    <d v="2025-11-15T00:00:00"/>
    <d v="2025-11-28T00:00:00"/>
    <s v="Epilepsy Monitoring"/>
    <s v="Follow-up"/>
    <n v="88397.54"/>
    <n v="74253.929999999993"/>
    <n v="14143.61"/>
    <s v="Paid"/>
    <n v="13"/>
    <n v="0.8399999592748848"/>
    <n v="0.16000004072511523"/>
  </r>
  <r>
    <n v="10547"/>
    <s v="PAT-1023"/>
    <s v="Neha Rao"/>
    <s v="Male"/>
    <n v="21"/>
    <s v="Pune"/>
    <s v="DOC-104"/>
    <s v="Dr. Vikramaditya Rao"/>
    <x v="3"/>
    <n v="18"/>
    <d v="2025-03-08T00:00:00"/>
    <d v="2025-03-12T00:00:00"/>
    <s v="Acute Ischemic Stroke"/>
    <s v="Completed"/>
    <n v="181732.43"/>
    <n v="141751.29999999999"/>
    <n v="39981.129999999997"/>
    <s v="Paid"/>
    <n v="4"/>
    <n v="0.78000002531193802"/>
    <n v="0.21999997468806201"/>
  </r>
  <r>
    <n v="10548"/>
    <s v="PAT-1013"/>
    <s v="Neha Nair"/>
    <s v="Female"/>
    <n v="18"/>
    <s v="Faridabad"/>
    <s v="DOC-105"/>
    <s v="Dr. Amit Kumar"/>
    <x v="2"/>
    <n v="10"/>
    <d v="2025-11-13T00:00:00"/>
    <d v="2025-11-24T00:00:00"/>
    <s v="Ligament Tear Repair"/>
    <s v="Completed"/>
    <n v="112677.04"/>
    <n v="92395.17"/>
    <n v="20281.87"/>
    <s v="Paid"/>
    <n v="11"/>
    <n v="0.81999997515021694"/>
    <n v="0.18000002484978306"/>
  </r>
  <r>
    <n v="10549"/>
    <s v="PAT-1004"/>
    <s v="Neha Patel"/>
    <s v="Male"/>
    <n v="34"/>
    <s v="Ghaziabad"/>
    <s v="DOC-108"/>
    <s v="Dr. Sanjay Gupta"/>
    <x v="1"/>
    <n v="11"/>
    <d v="2025-02-04T00:00:00"/>
    <d v="2025-02-18T00:00:00"/>
    <s v="Acute Viral Fever &amp; Infection"/>
    <s v="Completed"/>
    <n v="8078.98"/>
    <n v="5816.87"/>
    <n v="2262.11"/>
    <s v="Paid"/>
    <n v="14"/>
    <n v="0.72000054462320739"/>
    <n v="0.27999945537679266"/>
  </r>
  <r>
    <n v="10550"/>
    <s v="PAT-1007"/>
    <s v="Ananya Kumar"/>
    <s v="Female"/>
    <n v="45"/>
    <s v="Ghaziabad"/>
    <s v="DOC-104"/>
    <s v="Dr. Vikramaditya Rao"/>
    <x v="3"/>
    <n v="18"/>
    <d v="2025-08-09T00:00:00"/>
    <d v="2025-08-19T00:00:00"/>
    <s v="Epilepsy Monitoring"/>
    <s v="Completed"/>
    <n v="63117.3"/>
    <n v="42288.59"/>
    <n v="20828.71"/>
    <s v="Paid"/>
    <n v="10"/>
    <n v="0.66999998415648321"/>
    <n v="0.33000001584351674"/>
  </r>
  <r>
    <n v="10551"/>
    <s v="PAT-1006"/>
    <s v="Neha Singh"/>
    <s v="Female"/>
    <n v="68"/>
    <s v="Mumbai"/>
    <s v="DOC-104"/>
    <s v="Dr. Vikramaditya Rao"/>
    <x v="3"/>
    <n v="18"/>
    <d v="2025-04-22T00:00:00"/>
    <d v="2025-04-25T00:00:00"/>
    <s v="Migraine &amp; Nerve Compression"/>
    <s v="Completed"/>
    <n v="22127.34"/>
    <n v="15931.68"/>
    <n v="6195.66"/>
    <s v="Paid"/>
    <n v="3"/>
    <n v="0.7199997830737902"/>
    <n v="0.28000021692620986"/>
  </r>
  <r>
    <n v="10552"/>
    <s v="PAT-1048"/>
    <s v="Pooja Verma"/>
    <s v="Female"/>
    <n v="39"/>
    <s v="Pune"/>
    <s v="DOC-108"/>
    <s v="Dr. Sanjay Gupta"/>
    <x v="1"/>
    <n v="11"/>
    <d v="2025-04-26T00:00:00"/>
    <d v="2025-05-07T00:00:00"/>
    <s v="Typhoid &amp; Severe Dehydration"/>
    <s v="Completed"/>
    <n v="34118.480000000003"/>
    <n v="26612.41"/>
    <n v="7506.07"/>
    <s v="Paid"/>
    <n v="11"/>
    <n v="0.77999987103763113"/>
    <n v="0.22000012896236876"/>
  </r>
  <r>
    <n v="10553"/>
    <s v="PAT-1040"/>
    <s v="Pooja Mehta"/>
    <s v="Male"/>
    <n v="74"/>
    <s v="Bangalore"/>
    <s v="DOC-107"/>
    <s v="Dr. Meera Nair"/>
    <x v="1"/>
    <n v="9"/>
    <d v="2025-01-12T00:00:00"/>
    <d v="2025-01-23T00:00:00"/>
    <s v="Acute Viral Fever &amp; Infection"/>
    <s v="Completed"/>
    <n v="11668.94"/>
    <n v="8401.64"/>
    <n v="3267.3"/>
    <s v="Paid"/>
    <n v="11"/>
    <n v="0.72000027423227808"/>
    <n v="0.27999972576772186"/>
  </r>
  <r>
    <n v="10554"/>
    <s v="PAT-1011"/>
    <s v="Siddharth Nair"/>
    <s v="Female"/>
    <n v="18"/>
    <s v="Hyderabad"/>
    <s v="DOC-106"/>
    <s v="Dr. Neha Sharma"/>
    <x v="2"/>
    <n v="8"/>
    <d v="2025-06-27T00:00:00"/>
    <d v="2025-07-09T00:00:00"/>
    <s v="Ligament Tear Repair"/>
    <s v="Follow-up"/>
    <n v="114167.03"/>
    <n v="71925.23"/>
    <n v="42241.8"/>
    <s v="Paid"/>
    <n v="12"/>
    <n v="0.6300000096350058"/>
    <n v="0.3699999903649942"/>
  </r>
  <r>
    <n v="10555"/>
    <s v="PAT-1010"/>
    <s v="Siddharth Rao"/>
    <s v="Male"/>
    <n v="45"/>
    <s v="Noida"/>
    <s v="DOC-102"/>
    <s v="Dr. Alok Verma"/>
    <x v="0"/>
    <n v="12"/>
    <d v="2025-09-04T00:00:00"/>
    <d v="2025-09-11T00:00:00"/>
    <s v="Hypertension &amp; Arrhythmia"/>
    <s v="Completed"/>
    <n v="27136.44"/>
    <n v="17095.96"/>
    <n v="10040.48"/>
    <s v="Paid"/>
    <n v="7"/>
    <n v="0.63000010318228916"/>
    <n v="0.36999989681771078"/>
  </r>
  <r>
    <n v="10556"/>
    <s v="PAT-1020"/>
    <s v="Ritu Verma"/>
    <s v="Female"/>
    <n v="68"/>
    <s v="Gurgaon"/>
    <s v="DOC-107"/>
    <s v="Dr. Meera Nair"/>
    <x v="1"/>
    <n v="9"/>
    <d v="2025-08-26T00:00:00"/>
    <d v="2025-09-07T00:00:00"/>
    <s v="Typhoid &amp; Severe Dehydration"/>
    <s v="Completed"/>
    <n v="13108.94"/>
    <n v="8782.99"/>
    <n v="4325.95"/>
    <s v="Paid"/>
    <n v="12"/>
    <n v="0.67000001525676367"/>
    <n v="0.32999998474323627"/>
  </r>
  <r>
    <n v="10557"/>
    <s v="PAT-1011"/>
    <s v="Siddharth Nair"/>
    <s v="Female"/>
    <n v="18"/>
    <s v="Hyderabad"/>
    <s v="DOC-106"/>
    <s v="Dr. Neha Sharma"/>
    <x v="2"/>
    <n v="8"/>
    <d v="2025-03-07T00:00:00"/>
    <d v="2025-03-21T00:00:00"/>
    <s v="Ligament Tear Repair"/>
    <s v="Completed"/>
    <n v="128883.18"/>
    <n v="79907.570000000007"/>
    <n v="48975.61"/>
    <s v="Paid"/>
    <n v="14"/>
    <n v="0.61999998758565711"/>
    <n v="0.380000012414343"/>
  </r>
  <r>
    <n v="10558"/>
    <s v="PAT-1042"/>
    <s v="Ananya Sharma"/>
    <s v="Female"/>
    <n v="65"/>
    <s v="Hyderabad"/>
    <s v="DOC-105"/>
    <s v="Dr. Amit Kumar"/>
    <x v="2"/>
    <n v="10"/>
    <d v="2025-06-29T00:00:00"/>
    <d v="2025-07-13T00:00:00"/>
    <s v="Cervical Spondylosis"/>
    <s v="Follow-up"/>
    <n v="33455.97"/>
    <n v="20073.580000000002"/>
    <n v="13382.39"/>
    <s v="Paid"/>
    <n v="14"/>
    <n v="0.59999994021993686"/>
    <n v="0.40000005978006314"/>
  </r>
  <r>
    <n v="10559"/>
    <s v="PAT-1036"/>
    <s v="Rohan Joshi"/>
    <s v="Male"/>
    <n v="41"/>
    <s v="Delhi"/>
    <s v="DOC-106"/>
    <s v="Dr. Neha Sharma"/>
    <x v="2"/>
    <n v="8"/>
    <d v="2025-12-08T00:00:00"/>
    <d v="2025-12-17T00:00:00"/>
    <s v="Knee Replacement Surgery"/>
    <s v="Completed"/>
    <n v="304860.83"/>
    <n v="182916.5"/>
    <n v="121944.33"/>
    <s v="Paid"/>
    <n v="9"/>
    <n v="0.60000000656037045"/>
    <n v="0.3999999934396295"/>
  </r>
  <r>
    <n v="10560"/>
    <s v="PAT-1028"/>
    <s v="Vikram Kumar"/>
    <s v="Male"/>
    <n v="18"/>
    <s v="Delhi"/>
    <s v="DOC-106"/>
    <s v="Dr. Neha Sharma"/>
    <x v="2"/>
    <n v="8"/>
    <d v="2025-12-09T00:00:00"/>
    <d v="2025-12-18T00:00:00"/>
    <s v="Knee Replacement Surgery"/>
    <s v="Completed"/>
    <n v="372308.64"/>
    <n v="256892.96"/>
    <n v="115415.67999999999"/>
    <s v="Pending"/>
    <n v="9"/>
    <n v="0.68999999570249027"/>
    <n v="0.31000000429750968"/>
  </r>
  <r>
    <n v="10561"/>
    <s v="PAT-1048"/>
    <s v="Pooja Verma"/>
    <s v="Female"/>
    <n v="39"/>
    <s v="Pune"/>
    <s v="DOC-101"/>
    <s v="Dr. Rajesh Khanna"/>
    <x v="0"/>
    <n v="15"/>
    <d v="2025-10-24T00:00:00"/>
    <d v="2025-11-03T00:00:00"/>
    <s v="Hypertension &amp; Arrhythmia"/>
    <s v="Completed"/>
    <n v="70832.820000000007"/>
    <n v="57374.58"/>
    <n v="13458.24"/>
    <s v="Paid"/>
    <n v="10"/>
    <n v="0.80999994070545256"/>
    <n v="0.19000005929454733"/>
  </r>
  <r>
    <n v="10562"/>
    <s v="PAT-1020"/>
    <s v="Ritu Verma"/>
    <s v="Female"/>
    <n v="68"/>
    <s v="Gurgaon"/>
    <s v="DOC-105"/>
    <s v="Dr. Amit Kumar"/>
    <x v="2"/>
    <n v="10"/>
    <d v="2025-05-01T00:00:00"/>
    <d v="2025-05-09T00:00:00"/>
    <s v="Knee Replacement Surgery"/>
    <s v="Completed"/>
    <n v="370299.06"/>
    <n v="296239.25"/>
    <n v="74059.81"/>
    <s v="Paid"/>
    <n v="8"/>
    <n v="0.80000000540103988"/>
    <n v="0.19999999459896009"/>
  </r>
  <r>
    <n v="10563"/>
    <s v="PAT-1020"/>
    <s v="Ritu Verma"/>
    <s v="Female"/>
    <n v="68"/>
    <s v="Gurgaon"/>
    <s v="DOC-103"/>
    <s v="Dr. Sunita Kapoor"/>
    <x v="3"/>
    <n v="14"/>
    <d v="2025-05-25T00:00:00"/>
    <d v="2025-06-04T00:00:00"/>
    <s v="Acute Ischemic Stroke"/>
    <s v="Completed"/>
    <n v="298758.92"/>
    <n v="185230.53"/>
    <n v="113528.39"/>
    <s v="Paid"/>
    <n v="10"/>
    <n v="0.61999999866112787"/>
    <n v="0.38000000133887218"/>
  </r>
  <r>
    <n v="10564"/>
    <s v="PAT-1050"/>
    <s v="Priya Mehta"/>
    <s v="Male"/>
    <n v="33"/>
    <s v="Mumbai"/>
    <s v="DOC-105"/>
    <s v="Dr. Amit Kumar"/>
    <x v="2"/>
    <n v="10"/>
    <d v="2025-06-14T00:00:00"/>
    <d v="2025-06-21T00:00:00"/>
    <s v="Cervical Spondylosis"/>
    <s v="Completed"/>
    <n v="37873.379999999997"/>
    <n v="24996.43"/>
    <n v="12876.95"/>
    <s v="Paid"/>
    <n v="7"/>
    <n v="0.65999997887698436"/>
    <n v="0.34000002112301575"/>
  </r>
  <r>
    <n v="10565"/>
    <s v="PAT-1025"/>
    <s v="Ananya Mehta"/>
    <s v="Female"/>
    <n v="23"/>
    <s v="Faridabad"/>
    <s v="DOC-105"/>
    <s v="Dr. Amit Kumar"/>
    <x v="2"/>
    <n v="10"/>
    <d v="2025-01-18T00:00:00"/>
    <d v="2025-01-31T00:00:00"/>
    <s v="Cervical Spondylosis"/>
    <s v="Completed"/>
    <n v="50328.08"/>
    <n v="36236.22"/>
    <n v="14091.86"/>
    <s v="Paid"/>
    <n v="13"/>
    <n v="0.72000004768709636"/>
    <n v="0.27999995231290364"/>
  </r>
  <r>
    <n v="10566"/>
    <s v="PAT-1044"/>
    <s v="Pooja Singh"/>
    <s v="Male"/>
    <n v="67"/>
    <s v="Hyderabad"/>
    <s v="DOC-101"/>
    <s v="Dr. Rajesh Khanna"/>
    <x v="0"/>
    <n v="15"/>
    <d v="2025-12-06T00:00:00"/>
    <d v="2025-12-19T00:00:00"/>
    <s v="Hypertension &amp; Arrhythmia"/>
    <s v="Completed"/>
    <n v="41184.93"/>
    <n v="32947.94"/>
    <n v="8236.99"/>
    <s v="Paid"/>
    <n v="13"/>
    <n v="0.7999999028770961"/>
    <n v="0.20000009712290392"/>
  </r>
  <r>
    <n v="10567"/>
    <s v="PAT-1042"/>
    <s v="Ananya Sharma"/>
    <s v="Female"/>
    <n v="65"/>
    <s v="Hyderabad"/>
    <s v="DOC-101"/>
    <s v="Dr. Rajesh Khanna"/>
    <x v="0"/>
    <n v="15"/>
    <d v="2025-06-04T00:00:00"/>
    <d v="2025-06-09T00:00:00"/>
    <s v="Heart Failure Management"/>
    <s v="Completed"/>
    <n v="155214.51999999999"/>
    <n v="111754.45"/>
    <n v="43460.07"/>
    <s v="Paid"/>
    <n v="5"/>
    <n v="0.71999997165213669"/>
    <n v="0.28000002834786336"/>
  </r>
  <r>
    <n v="10568"/>
    <s v="PAT-1037"/>
    <s v="Kavya Kumar"/>
    <s v="Male"/>
    <n v="61"/>
    <s v="Mumbai"/>
    <s v="DOC-107"/>
    <s v="Dr. Meera Nair"/>
    <x v="1"/>
    <n v="9"/>
    <d v="2025-03-10T00:00:00"/>
    <d v="2025-03-16T00:00:00"/>
    <s v="Acute Viral Fever &amp; Infection"/>
    <s v="Completed"/>
    <n v="21985.19"/>
    <n v="14730.08"/>
    <n v="7255.11"/>
    <s v="Paid"/>
    <n v="6"/>
    <n v="0.67000012280994614"/>
    <n v="0.32999987719005386"/>
  </r>
  <r>
    <n v="10569"/>
    <s v="PAT-1031"/>
    <s v="Kavya Kumar"/>
    <s v="Male"/>
    <n v="53"/>
    <s v="Jaipur"/>
    <s v="DOC-101"/>
    <s v="Dr. Rajesh Khanna"/>
    <x v="0"/>
    <n v="15"/>
    <d v="2025-02-01T00:00:00"/>
    <d v="2025-02-06T00:00:00"/>
    <s v="Hypertension &amp; Arrhythmia"/>
    <s v="Completed"/>
    <n v="75192.289999999994"/>
    <n v="52634.6"/>
    <n v="22557.69"/>
    <s v="Pending"/>
    <n v="5"/>
    <n v="0.69999996010229248"/>
    <n v="0.30000003989770763"/>
  </r>
  <r>
    <n v="10570"/>
    <s v="PAT-1042"/>
    <s v="Ananya Sharma"/>
    <s v="Female"/>
    <n v="65"/>
    <s v="Hyderabad"/>
    <s v="DOC-108"/>
    <s v="Dr. Sanjay Gupta"/>
    <x v="1"/>
    <n v="11"/>
    <d v="2025-05-31T00:00:00"/>
    <d v="2025-06-12T00:00:00"/>
    <s v="Typhoid &amp; Severe Dehydration"/>
    <s v="Completed"/>
    <n v="32428.62"/>
    <n v="26915.75"/>
    <n v="5512.87"/>
    <s v="Paid"/>
    <n v="12"/>
    <n v="0.82999985814999222"/>
    <n v="0.17000014185000781"/>
  </r>
  <r>
    <n v="10571"/>
    <s v="PAT-1049"/>
    <s v="Pooja Verma"/>
    <s v="Male"/>
    <n v="48"/>
    <s v="Bangalore"/>
    <s v="DOC-103"/>
    <s v="Dr. Sunita Kapoor"/>
    <x v="3"/>
    <n v="14"/>
    <d v="2025-05-15T00:00:00"/>
    <d v="2025-05-22T00:00:00"/>
    <s v="Epilepsy Monitoring"/>
    <s v="Completed"/>
    <n v="41143.480000000003"/>
    <n v="32503.35"/>
    <n v="8640.1299999999992"/>
    <s v="Paid"/>
    <n v="7"/>
    <n v="0.79000001944414999"/>
    <n v="0.20999998055584987"/>
  </r>
  <r>
    <n v="10572"/>
    <s v="PAT-1016"/>
    <s v="Manish Kumar"/>
    <s v="Female"/>
    <n v="28"/>
    <s v="Hyderabad"/>
    <s v="DOC-105"/>
    <s v="Dr. Amit Kumar"/>
    <x v="2"/>
    <n v="10"/>
    <d v="2025-10-12T00:00:00"/>
    <d v="2025-10-22T00:00:00"/>
    <s v="Ligament Tear Repair"/>
    <s v="Completed"/>
    <n v="109619.89"/>
    <n v="70156.73"/>
    <n v="39463.160000000003"/>
    <s v="Pending"/>
    <n v="10"/>
    <n v="0.6400000036489728"/>
    <n v="0.3599999963510272"/>
  </r>
  <r>
    <n v="10573"/>
    <s v="PAT-1048"/>
    <s v="Pooja Verma"/>
    <s v="Female"/>
    <n v="39"/>
    <s v="Pune"/>
    <s v="DOC-107"/>
    <s v="Dr. Meera Nair"/>
    <x v="1"/>
    <n v="9"/>
    <d v="2025-05-13T00:00:00"/>
    <d v="2025-05-19T00:00:00"/>
    <s v="Acute Viral Fever &amp; Infection"/>
    <s v="Completed"/>
    <n v="12820.89"/>
    <n v="8974.6200000000008"/>
    <n v="3846.27"/>
    <s v="Paid"/>
    <n v="6"/>
    <n v="0.69999976600688418"/>
    <n v="0.30000023399311593"/>
  </r>
  <r>
    <n v="10574"/>
    <s v="PAT-1031"/>
    <s v="Kavya Kumar"/>
    <s v="Male"/>
    <n v="53"/>
    <s v="Jaipur"/>
    <s v="DOC-104"/>
    <s v="Dr. Vikramaditya Rao"/>
    <x v="3"/>
    <n v="18"/>
    <d v="2025-01-07T00:00:00"/>
    <d v="2025-01-18T00:00:00"/>
    <s v="Acute Ischemic Stroke"/>
    <s v="Completed"/>
    <n v="314865.90999999997"/>
    <n v="204662.84"/>
    <n v="110203.07"/>
    <s v="Paid"/>
    <n v="11"/>
    <n v="0.64999999523606733"/>
    <n v="0.35000000476393273"/>
  </r>
  <r>
    <n v="10575"/>
    <s v="PAT-1023"/>
    <s v="Neha Rao"/>
    <s v="Male"/>
    <n v="21"/>
    <s v="Pune"/>
    <s v="DOC-108"/>
    <s v="Dr. Sanjay Gupta"/>
    <x v="1"/>
    <n v="11"/>
    <d v="2025-10-11T00:00:00"/>
    <d v="2025-10-16T00:00:00"/>
    <s v="Typhoid &amp; Severe Dehydration"/>
    <s v="Completed"/>
    <n v="15956.22"/>
    <n v="11648.04"/>
    <n v="4308.18"/>
    <s v="Pending"/>
    <n v="5"/>
    <n v="0.72999996239710918"/>
    <n v="0.27000003760289093"/>
  </r>
  <r>
    <n v="10576"/>
    <s v="PAT-1046"/>
    <s v="Amit Mehta"/>
    <s v="Male"/>
    <n v="49"/>
    <s v="Delhi"/>
    <s v="DOC-104"/>
    <s v="Dr. Vikramaditya Rao"/>
    <x v="3"/>
    <n v="18"/>
    <d v="2025-10-15T00:00:00"/>
    <d v="2025-10-22T00:00:00"/>
    <s v="Acute Ischemic Stroke"/>
    <s v="Completed"/>
    <n v="249080.88"/>
    <n v="204246.32"/>
    <n v="44834.559999999998"/>
    <s v="Pending"/>
    <n v="7"/>
    <n v="0.81999999357638376"/>
    <n v="0.18000000642361627"/>
  </r>
  <r>
    <n v="10577"/>
    <s v="PAT-1037"/>
    <s v="Kavya Kumar"/>
    <s v="Male"/>
    <n v="61"/>
    <s v="Mumbai"/>
    <s v="DOC-106"/>
    <s v="Dr. Neha Sharma"/>
    <x v="2"/>
    <n v="8"/>
    <d v="2025-11-12T00:00:00"/>
    <d v="2025-11-14T00:00:00"/>
    <s v="Cervical Spondylosis"/>
    <s v="Completed"/>
    <n v="60545.5"/>
    <n v="50858.22"/>
    <n v="9687.2800000000007"/>
    <s v="Pending"/>
    <n v="2"/>
    <n v="0.84"/>
    <n v="0.16"/>
  </r>
  <r>
    <n v="10578"/>
    <s v="PAT-1005"/>
    <s v="Rohan Verma"/>
    <s v="Female"/>
    <n v="67"/>
    <s v="Pune"/>
    <s v="DOC-105"/>
    <s v="Dr. Amit Kumar"/>
    <x v="2"/>
    <n v="10"/>
    <d v="2025-06-09T00:00:00"/>
    <d v="2025-06-13T00:00:00"/>
    <s v="Cervical Spondylosis"/>
    <s v="Completed"/>
    <n v="43739.47"/>
    <n v="27118.47"/>
    <n v="16621"/>
    <s v="Pending"/>
    <n v="4"/>
    <n v="0.61999996799229617"/>
    <n v="0.38000003200770377"/>
  </r>
  <r>
    <n v="10579"/>
    <s v="PAT-1006"/>
    <s v="Neha Singh"/>
    <s v="Female"/>
    <n v="68"/>
    <s v="Mumbai"/>
    <s v="DOC-102"/>
    <s v="Dr. Alok Verma"/>
    <x v="0"/>
    <n v="12"/>
    <d v="2025-11-14T00:00:00"/>
    <d v="2025-11-21T00:00:00"/>
    <s v="Coronary Artery Disease"/>
    <s v="Completed"/>
    <n v="339605.16"/>
    <n v="220743.35"/>
    <n v="118861.81"/>
    <s v="Paid"/>
    <n v="7"/>
    <n v="0.64999998822161598"/>
    <n v="0.35000001177838408"/>
  </r>
  <r>
    <n v="10580"/>
    <s v="PAT-1033"/>
    <s v="Vikram Joshi"/>
    <s v="Female"/>
    <n v="75"/>
    <s v="Bangalore"/>
    <s v="DOC-106"/>
    <s v="Dr. Neha Sharma"/>
    <x v="2"/>
    <n v="8"/>
    <d v="2025-07-13T00:00:00"/>
    <d v="2025-07-27T00:00:00"/>
    <s v="Cervical Spondylosis"/>
    <s v="Completed"/>
    <n v="61298.5"/>
    <n v="41070"/>
    <n v="20228.5"/>
    <s v="Paid"/>
    <n v="14"/>
    <n v="0.67000008156806445"/>
    <n v="0.32999991843193555"/>
  </r>
  <r>
    <n v="10581"/>
    <s v="PAT-1036"/>
    <s v="Rohan Joshi"/>
    <s v="Male"/>
    <n v="41"/>
    <s v="Delhi"/>
    <s v="DOC-108"/>
    <s v="Dr. Sanjay Gupta"/>
    <x v="1"/>
    <n v="11"/>
    <d v="2025-07-23T00:00:00"/>
    <d v="2025-08-05T00:00:00"/>
    <s v="Typhoid &amp; Severe Dehydration"/>
    <s v="Follow-up"/>
    <n v="26159.35"/>
    <n v="20927.48"/>
    <n v="5231.87"/>
    <s v="Pending"/>
    <n v="13"/>
    <n v="0.8"/>
    <n v="0.2"/>
  </r>
  <r>
    <n v="10582"/>
    <s v="PAT-1018"/>
    <s v="Pooja Saxena"/>
    <s v="Male"/>
    <n v="23"/>
    <s v="Noida"/>
    <s v="DOC-108"/>
    <s v="Dr. Sanjay Gupta"/>
    <x v="1"/>
    <n v="11"/>
    <d v="2025-10-12T00:00:00"/>
    <d v="2025-10-15T00:00:00"/>
    <s v="Pneumonia Management"/>
    <s v="Completed"/>
    <n v="38838.58"/>
    <n v="24856.69"/>
    <n v="13981.89"/>
    <s v="Paid"/>
    <n v="3"/>
    <n v="0.63999996910288681"/>
    <n v="0.36000003089711308"/>
  </r>
  <r>
    <n v="10583"/>
    <s v="PAT-1023"/>
    <s v="Neha Rao"/>
    <s v="Male"/>
    <n v="21"/>
    <s v="Pune"/>
    <s v="DOC-101"/>
    <s v="Dr. Rajesh Khanna"/>
    <x v="0"/>
    <n v="15"/>
    <d v="2025-10-25T00:00:00"/>
    <d v="2025-11-06T00:00:00"/>
    <s v="Hypertension &amp; Arrhythmia"/>
    <s v="Follow-up"/>
    <n v="70439.45"/>
    <n v="45081.25"/>
    <n v="25358.2"/>
    <s v="Paid"/>
    <n v="12"/>
    <n v="0.64000002839318026"/>
    <n v="0.35999997160681979"/>
  </r>
  <r>
    <n v="10584"/>
    <s v="PAT-1014"/>
    <s v="Sneha Gupta"/>
    <s v="Male"/>
    <n v="45"/>
    <s v="Gurgaon"/>
    <s v="DOC-105"/>
    <s v="Dr. Amit Kumar"/>
    <x v="2"/>
    <n v="10"/>
    <d v="2025-10-18T00:00:00"/>
    <d v="2025-10-23T00:00:00"/>
    <s v="Knee Replacement Surgery"/>
    <s v="Completed"/>
    <n v="370715.36"/>
    <n v="307693.75"/>
    <n v="63021.61"/>
    <s v="Paid"/>
    <n v="5"/>
    <n v="0.83000000323698486"/>
    <n v="0.16999999676301517"/>
  </r>
  <r>
    <n v="10585"/>
    <s v="PAT-1024"/>
    <s v="Rahul Nair"/>
    <s v="Female"/>
    <n v="47"/>
    <s v="Delhi"/>
    <s v="DOC-105"/>
    <s v="Dr. Amit Kumar"/>
    <x v="2"/>
    <n v="10"/>
    <d v="2025-03-10T00:00:00"/>
    <d v="2025-03-15T00:00:00"/>
    <s v="Cervical Spondylosis"/>
    <s v="Follow-up"/>
    <n v="47078.6"/>
    <n v="34367.379999999997"/>
    <n v="12711.22"/>
    <s v="Paid"/>
    <n v="5"/>
    <n v="0.73000004248214689"/>
    <n v="0.26999995751785311"/>
  </r>
  <r>
    <n v="10586"/>
    <s v="PAT-1032"/>
    <s v="Rahul Joshi"/>
    <s v="Female"/>
    <n v="19"/>
    <s v="Gurgaon"/>
    <s v="DOC-104"/>
    <s v="Dr. Vikramaditya Rao"/>
    <x v="3"/>
    <n v="18"/>
    <d v="2025-06-05T00:00:00"/>
    <d v="2025-06-10T00:00:00"/>
    <s v="Epilepsy Monitoring"/>
    <s v="Completed"/>
    <n v="57161.69"/>
    <n v="45157.74"/>
    <n v="12003.95"/>
    <s v="Paid"/>
    <n v="5"/>
    <n v="0.79000008572174818"/>
    <n v="0.20999991427825174"/>
  </r>
  <r>
    <n v="10587"/>
    <s v="PAT-1019"/>
    <s v="Aarav Kapoor"/>
    <s v="Female"/>
    <n v="52"/>
    <s v="Hyderabad"/>
    <s v="DOC-105"/>
    <s v="Dr. Amit Kumar"/>
    <x v="2"/>
    <n v="10"/>
    <d v="2025-01-15T00:00:00"/>
    <d v="2025-01-19T00:00:00"/>
    <s v="Cervical Spondylosis"/>
    <s v="Follow-up"/>
    <n v="60479.85"/>
    <n v="43545.49"/>
    <n v="16934.36"/>
    <s v="Pending"/>
    <n v="4"/>
    <n v="0.71999996693113488"/>
    <n v="0.28000003306886512"/>
  </r>
  <r>
    <n v="10588"/>
    <s v="PAT-1023"/>
    <s v="Neha Rao"/>
    <s v="Male"/>
    <n v="21"/>
    <s v="Pune"/>
    <s v="DOC-106"/>
    <s v="Dr. Neha Sharma"/>
    <x v="2"/>
    <n v="8"/>
    <d v="2025-08-08T00:00:00"/>
    <d v="2025-08-18T00:00:00"/>
    <s v="Cervical Spondylosis"/>
    <s v="Completed"/>
    <n v="28057.67"/>
    <n v="20482.099999999999"/>
    <n v="7575.57"/>
    <s v="Paid"/>
    <n v="10"/>
    <n v="0.73000003207679043"/>
    <n v="0.26999996792320957"/>
  </r>
  <r>
    <n v="10589"/>
    <s v="PAT-1013"/>
    <s v="Neha Nair"/>
    <s v="Female"/>
    <n v="18"/>
    <s v="Faridabad"/>
    <s v="DOC-107"/>
    <s v="Dr. Meera Nair"/>
    <x v="1"/>
    <n v="9"/>
    <d v="2025-01-31T00:00:00"/>
    <d v="2025-02-09T00:00:00"/>
    <s v="Typhoid &amp; Severe Dehydration"/>
    <s v="Follow-up"/>
    <n v="18544.64"/>
    <n v="14650.27"/>
    <n v="3894.37"/>
    <s v="Paid"/>
    <n v="9"/>
    <n v="0.79000023726532309"/>
    <n v="0.20999976273467696"/>
  </r>
  <r>
    <n v="10590"/>
    <s v="PAT-1032"/>
    <s v="Rahul Joshi"/>
    <s v="Female"/>
    <n v="19"/>
    <s v="Gurgaon"/>
    <s v="DOC-104"/>
    <s v="Dr. Vikramaditya Rao"/>
    <x v="3"/>
    <n v="18"/>
    <d v="2025-08-04T00:00:00"/>
    <d v="2025-08-07T00:00:00"/>
    <s v="Migraine &amp; Nerve Compression"/>
    <s v="Completed"/>
    <n v="33226.550000000003"/>
    <n v="20600.46"/>
    <n v="12626.09"/>
    <s v="Paid"/>
    <n v="3"/>
    <n v="0.61999996990358608"/>
    <n v="0.38000003009641381"/>
  </r>
  <r>
    <n v="10591"/>
    <s v="PAT-1031"/>
    <s v="Kavya Kumar"/>
    <s v="Male"/>
    <n v="53"/>
    <s v="Jaipur"/>
    <s v="DOC-101"/>
    <s v="Dr. Rajesh Khanna"/>
    <x v="0"/>
    <n v="15"/>
    <d v="2025-03-09T00:00:00"/>
    <d v="2025-03-13T00:00:00"/>
    <s v="Coronary Artery Disease"/>
    <s v="Completed"/>
    <n v="202831.86"/>
    <n v="135897.35"/>
    <n v="66934.509999999995"/>
    <s v="Paid"/>
    <n v="4"/>
    <n v="0.67000001873472947"/>
    <n v="0.32999998126527064"/>
  </r>
  <r>
    <n v="10592"/>
    <s v="PAT-1028"/>
    <s v="Vikram Kumar"/>
    <s v="Male"/>
    <n v="18"/>
    <s v="Delhi"/>
    <s v="DOC-101"/>
    <s v="Dr. Rajesh Khanna"/>
    <x v="0"/>
    <n v="15"/>
    <d v="2025-07-25T00:00:00"/>
    <d v="2025-07-30T00:00:00"/>
    <s v="Hypertension &amp; Arrhythmia"/>
    <s v="Follow-up"/>
    <n v="43632.92"/>
    <n v="30979.37"/>
    <n v="12653.55"/>
    <s v="Paid"/>
    <n v="5"/>
    <n v="0.70999992666087897"/>
    <n v="0.29000007333912103"/>
  </r>
  <r>
    <n v="10593"/>
    <s v="PAT-1044"/>
    <s v="Pooja Singh"/>
    <s v="Male"/>
    <n v="67"/>
    <s v="Hyderabad"/>
    <s v="DOC-108"/>
    <s v="Dr. Sanjay Gupta"/>
    <x v="1"/>
    <n v="11"/>
    <d v="2025-01-09T00:00:00"/>
    <d v="2025-01-18T00:00:00"/>
    <s v="Acute Viral Fever &amp; Infection"/>
    <s v="Completed"/>
    <n v="18080.439999999999"/>
    <n v="11752.29"/>
    <n v="6328.15"/>
    <s v="Pending"/>
    <n v="9"/>
    <n v="0.65000022123355417"/>
    <n v="0.34999977876644595"/>
  </r>
  <r>
    <n v="10594"/>
    <s v="PAT-1039"/>
    <s v="Rahul Saxena"/>
    <s v="Female"/>
    <n v="37"/>
    <s v="Faridabad"/>
    <s v="DOC-101"/>
    <s v="Dr. Rajesh Khanna"/>
    <x v="0"/>
    <n v="15"/>
    <d v="2025-04-28T00:00:00"/>
    <d v="2025-05-10T00:00:00"/>
    <s v="Coronary Artery Disease"/>
    <s v="Completed"/>
    <n v="361379.88"/>
    <n v="267421.11"/>
    <n v="93958.77"/>
    <s v="Pending"/>
    <n v="12"/>
    <n v="0.73999999667939453"/>
    <n v="0.26000000332060547"/>
  </r>
  <r>
    <n v="10595"/>
    <s v="PAT-1026"/>
    <s v="Manish Gupta"/>
    <s v="Female"/>
    <n v="47"/>
    <s v="Ghaziabad"/>
    <s v="DOC-107"/>
    <s v="Dr. Meera Nair"/>
    <x v="1"/>
    <n v="9"/>
    <d v="2025-02-09T00:00:00"/>
    <d v="2025-02-19T00:00:00"/>
    <s v="Acute Viral Fever &amp; Infection"/>
    <s v="Completed"/>
    <n v="17444.490000000002"/>
    <n v="11164.47"/>
    <n v="6280.02"/>
    <s v="Pending"/>
    <n v="10"/>
    <n v="0.63999979363111204"/>
    <n v="0.3600002063688878"/>
  </r>
  <r>
    <n v="10596"/>
    <s v="PAT-1039"/>
    <s v="Rahul Saxena"/>
    <s v="Female"/>
    <n v="37"/>
    <s v="Faridabad"/>
    <s v="DOC-107"/>
    <s v="Dr. Meera Nair"/>
    <x v="1"/>
    <n v="9"/>
    <d v="2025-05-08T00:00:00"/>
    <d v="2025-05-15T00:00:00"/>
    <s v="Acute Viral Fever &amp; Infection"/>
    <s v="Completed"/>
    <n v="22114.12"/>
    <n v="18354.72"/>
    <n v="3759.4"/>
    <s v="Pending"/>
    <n v="7"/>
    <n v="0.83000001808799095"/>
    <n v="0.16999998191200918"/>
  </r>
  <r>
    <n v="10597"/>
    <s v="PAT-1022"/>
    <s v="Kavya Gupta"/>
    <s v="Male"/>
    <n v="27"/>
    <s v="Faridabad"/>
    <s v="DOC-101"/>
    <s v="Dr. Rajesh Khanna"/>
    <x v="0"/>
    <n v="15"/>
    <d v="2025-03-19T00:00:00"/>
    <d v="2025-03-24T00:00:00"/>
    <s v="Heart Failure Management"/>
    <s v="Completed"/>
    <n v="225676.33"/>
    <n v="169257.25"/>
    <n v="56419.08"/>
    <s v="Paid"/>
    <n v="5"/>
    <n v="0.75000001107781222"/>
    <n v="0.24999998892218783"/>
  </r>
  <r>
    <n v="10598"/>
    <s v="PAT-1005"/>
    <s v="Rohan Verma"/>
    <s v="Female"/>
    <n v="67"/>
    <s v="Pune"/>
    <s v="DOC-101"/>
    <s v="Dr. Rajesh Khanna"/>
    <x v="0"/>
    <n v="15"/>
    <d v="2025-09-27T00:00:00"/>
    <d v="2025-10-07T00:00:00"/>
    <s v="Heart Failure Management"/>
    <s v="Completed"/>
    <n v="215187.4"/>
    <n v="144175.56"/>
    <n v="71011.839999999997"/>
    <s v="Paid"/>
    <n v="10"/>
    <n v="0.67000000929422443"/>
    <n v="0.32999999070577551"/>
  </r>
  <r>
    <n v="10599"/>
    <s v="PAT-1040"/>
    <s v="Pooja Mehta"/>
    <s v="Male"/>
    <n v="74"/>
    <s v="Bangalore"/>
    <s v="DOC-102"/>
    <s v="Dr. Alok Verma"/>
    <x v="0"/>
    <n v="12"/>
    <d v="2025-09-12T00:00:00"/>
    <d v="2025-09-20T00:00:00"/>
    <s v="Heart Failure Management"/>
    <s v="Completed"/>
    <n v="243992.38"/>
    <n v="153715.20000000001"/>
    <n v="90277.18"/>
    <s v="Paid"/>
    <n v="8"/>
    <n v="0.63000000245909327"/>
    <n v="0.36999999754090679"/>
  </r>
  <r>
    <n v="10600"/>
    <s v="PAT-1017"/>
    <s v="Ritu Saxena"/>
    <s v="Female"/>
    <n v="73"/>
    <s v="Gurgaon"/>
    <s v="DOC-108"/>
    <s v="Dr. Sanjay Gupta"/>
    <x v="1"/>
    <n v="11"/>
    <d v="2025-05-03T00:00:00"/>
    <d v="2025-05-06T00:00:00"/>
    <s v="Acute Viral Fever &amp; Infection"/>
    <s v="Follow-up"/>
    <n v="14150.98"/>
    <n v="8915.1200000000008"/>
    <n v="5235.8599999999997"/>
    <s v="Paid"/>
    <n v="3"/>
    <n v="0.63000018373285815"/>
    <n v="0.3699998162671419"/>
  </r>
  <r>
    <n v="10601"/>
    <s v="PAT-1038"/>
    <s v="Rahul Kumar"/>
    <s v="Male"/>
    <n v="26"/>
    <s v="Hyderabad"/>
    <s v="DOC-105"/>
    <s v="Dr. Amit Kumar"/>
    <x v="2"/>
    <n v="10"/>
    <d v="2025-09-10T00:00:00"/>
    <d v="2025-09-20T00:00:00"/>
    <s v="Cervical Spondylosis"/>
    <s v="Follow-up"/>
    <n v="34990.32"/>
    <n v="22043.9"/>
    <n v="12946.42"/>
    <s v="Paid"/>
    <n v="10"/>
    <n v="0.62999995427306754"/>
    <n v="0.37000004572693246"/>
  </r>
  <r>
    <n v="10602"/>
    <s v="PAT-1025"/>
    <s v="Ananya Mehta"/>
    <s v="Female"/>
    <n v="23"/>
    <s v="Faridabad"/>
    <s v="DOC-104"/>
    <s v="Dr. Vikramaditya Rao"/>
    <x v="3"/>
    <n v="18"/>
    <d v="2025-09-29T00:00:00"/>
    <d v="2025-10-13T00:00:00"/>
    <s v="Acute Ischemic Stroke"/>
    <s v="Completed"/>
    <n v="204982.94"/>
    <n v="143488.06"/>
    <n v="61494.879999999997"/>
    <s v="Paid"/>
    <n v="14"/>
    <n v="0.70000000975690946"/>
    <n v="0.29999999024309043"/>
  </r>
  <r>
    <n v="10603"/>
    <s v="PAT-1005"/>
    <s v="Rohan Verma"/>
    <s v="Female"/>
    <n v="67"/>
    <s v="Pune"/>
    <s v="DOC-106"/>
    <s v="Dr. Neha Sharma"/>
    <x v="2"/>
    <n v="8"/>
    <d v="2025-12-02T00:00:00"/>
    <d v="2025-12-12T00:00:00"/>
    <s v="Knee Replacement Surgery"/>
    <s v="Completed"/>
    <n v="150283.18"/>
    <n v="112712.38"/>
    <n v="37570.800000000003"/>
    <s v="Paid"/>
    <n v="10"/>
    <n v="0.749999966729477"/>
    <n v="0.25000003327052306"/>
  </r>
  <r>
    <n v="10604"/>
    <s v="PAT-1028"/>
    <s v="Vikram Kumar"/>
    <s v="Male"/>
    <n v="18"/>
    <s v="Delhi"/>
    <s v="DOC-103"/>
    <s v="Dr. Sunita Kapoor"/>
    <x v="3"/>
    <n v="14"/>
    <d v="2025-04-07T00:00:00"/>
    <d v="2025-04-18T00:00:00"/>
    <s v="Migraine &amp; Nerve Compression"/>
    <s v="Follow-up"/>
    <n v="43434.85"/>
    <n v="33444.83"/>
    <n v="9990.02"/>
    <s v="Pending"/>
    <n v="11"/>
    <n v="0.76999989639655719"/>
    <n v="0.23000010360344286"/>
  </r>
  <r>
    <n v="10605"/>
    <s v="PAT-1007"/>
    <s v="Ananya Kumar"/>
    <s v="Female"/>
    <n v="45"/>
    <s v="Ghaziabad"/>
    <s v="DOC-105"/>
    <s v="Dr. Amit Kumar"/>
    <x v="2"/>
    <n v="10"/>
    <d v="2025-10-17T00:00:00"/>
    <d v="2025-10-22T00:00:00"/>
    <s v="Cervical Spondylosis"/>
    <s v="Completed"/>
    <n v="64855.58"/>
    <n v="53830.13"/>
    <n v="11025.45"/>
    <s v="Paid"/>
    <n v="5"/>
    <n v="0.82999997841357664"/>
    <n v="0.17000002158642324"/>
  </r>
  <r>
    <n v="10606"/>
    <s v="PAT-1002"/>
    <s v="Amit Saxena"/>
    <s v="Male"/>
    <n v="56"/>
    <s v="Ghaziabad"/>
    <s v="DOC-108"/>
    <s v="Dr. Sanjay Gupta"/>
    <x v="1"/>
    <n v="11"/>
    <d v="2025-09-11T00:00:00"/>
    <d v="2025-09-24T00:00:00"/>
    <s v="Pneumonia Management"/>
    <s v="Completed"/>
    <n v="28588.75"/>
    <n v="19154.46"/>
    <n v="9434.2900000000009"/>
    <s v="Paid"/>
    <n v="13"/>
    <n v="0.66999991255301472"/>
    <n v="0.33000008744698528"/>
  </r>
  <r>
    <n v="10607"/>
    <s v="PAT-1026"/>
    <s v="Manish Gupta"/>
    <s v="Female"/>
    <n v="47"/>
    <s v="Ghaziabad"/>
    <s v="DOC-105"/>
    <s v="Dr. Amit Kumar"/>
    <x v="2"/>
    <n v="10"/>
    <d v="2025-03-17T00:00:00"/>
    <d v="2025-03-30T00:00:00"/>
    <s v="Knee Replacement Surgery"/>
    <s v="Completed"/>
    <n v="167652.07999999999"/>
    <n v="114003.41"/>
    <n v="53648.67"/>
    <s v="Paid"/>
    <n v="13"/>
    <n v="0.67999997375517207"/>
    <n v="0.32000002624482798"/>
  </r>
  <r>
    <n v="10608"/>
    <s v="PAT-1024"/>
    <s v="Rahul Nair"/>
    <s v="Female"/>
    <n v="47"/>
    <s v="Delhi"/>
    <s v="DOC-104"/>
    <s v="Dr. Vikramaditya Rao"/>
    <x v="3"/>
    <n v="18"/>
    <d v="2025-05-18T00:00:00"/>
    <d v="2025-05-21T00:00:00"/>
    <s v="Epilepsy Monitoring"/>
    <s v="Follow-up"/>
    <n v="74070.02"/>
    <n v="45923.41"/>
    <n v="28146.61"/>
    <s v="Paid"/>
    <n v="3"/>
    <n v="0.61999996759822662"/>
    <n v="0.38000003240177332"/>
  </r>
  <r>
    <n v="10609"/>
    <s v="PAT-1049"/>
    <s v="Pooja Verma"/>
    <s v="Male"/>
    <n v="48"/>
    <s v="Bangalore"/>
    <s v="DOC-101"/>
    <s v="Dr. Rajesh Khanna"/>
    <x v="0"/>
    <n v="15"/>
    <d v="2025-06-04T00:00:00"/>
    <d v="2025-06-10T00:00:00"/>
    <s v="Hypertension &amp; Arrhythmia"/>
    <s v="Completed"/>
    <n v="40078.11"/>
    <n v="27253.11"/>
    <n v="12825"/>
    <s v="Paid"/>
    <n v="6"/>
    <n v="0.67999988023387326"/>
    <n v="0.32000011976612669"/>
  </r>
  <r>
    <n v="10610"/>
    <s v="PAT-1007"/>
    <s v="Ananya Kumar"/>
    <s v="Female"/>
    <n v="45"/>
    <s v="Ghaziabad"/>
    <s v="DOC-101"/>
    <s v="Dr. Rajesh Khanna"/>
    <x v="0"/>
    <n v="15"/>
    <d v="2025-05-05T00:00:00"/>
    <d v="2025-05-12T00:00:00"/>
    <s v="Hypertension &amp; Arrhythmia"/>
    <s v="Completed"/>
    <n v="26142.880000000001"/>
    <n v="19345.73"/>
    <n v="6797.15"/>
    <s v="Paid"/>
    <n v="7"/>
    <n v="0.73999995409840069"/>
    <n v="0.2600000459015992"/>
  </r>
  <r>
    <n v="10611"/>
    <s v="PAT-1008"/>
    <s v="Priya Rao"/>
    <s v="Female"/>
    <n v="37"/>
    <s v="Ghaziabad"/>
    <s v="DOC-105"/>
    <s v="Dr. Amit Kumar"/>
    <x v="2"/>
    <n v="10"/>
    <d v="2025-10-07T00:00:00"/>
    <d v="2025-10-10T00:00:00"/>
    <s v="Cervical Spondylosis"/>
    <s v="Follow-up"/>
    <n v="47987.72"/>
    <n v="37430.42"/>
    <n v="10557.3"/>
    <s v="Paid"/>
    <n v="3"/>
    <n v="0.77999996665813665"/>
    <n v="0.22000003334186327"/>
  </r>
  <r>
    <n v="10612"/>
    <s v="PAT-1028"/>
    <s v="Vikram Kumar"/>
    <s v="Male"/>
    <n v="18"/>
    <s v="Delhi"/>
    <s v="DOC-103"/>
    <s v="Dr. Sunita Kapoor"/>
    <x v="3"/>
    <n v="14"/>
    <d v="2025-11-13T00:00:00"/>
    <d v="2025-11-27T00:00:00"/>
    <s v="Epilepsy Monitoring"/>
    <s v="Completed"/>
    <n v="73907.73"/>
    <n v="57648.03"/>
    <n v="16259.7"/>
    <s v="Pending"/>
    <n v="14"/>
    <n v="0.78000000811823067"/>
    <n v="0.21999999188176936"/>
  </r>
  <r>
    <n v="10613"/>
    <s v="PAT-1045"/>
    <s v="Sneha Sharma"/>
    <s v="Male"/>
    <n v="44"/>
    <s v="Hyderabad"/>
    <s v="DOC-102"/>
    <s v="Dr. Alok Verma"/>
    <x v="0"/>
    <n v="12"/>
    <d v="2025-12-03T00:00:00"/>
    <d v="2025-12-16T00:00:00"/>
    <s v="Coronary Artery Disease"/>
    <s v="Completed"/>
    <n v="280195.11"/>
    <n v="190532.67"/>
    <n v="89662.44"/>
    <s v="Paid"/>
    <n v="13"/>
    <n v="0.67999998286908014"/>
    <n v="0.32000001713091997"/>
  </r>
  <r>
    <n v="10614"/>
    <s v="PAT-1043"/>
    <s v="Kavya Kumar"/>
    <s v="Male"/>
    <n v="35"/>
    <s v="Pune"/>
    <s v="DOC-105"/>
    <s v="Dr. Amit Kumar"/>
    <x v="2"/>
    <n v="10"/>
    <d v="2025-04-09T00:00:00"/>
    <d v="2025-04-23T00:00:00"/>
    <s v="Knee Replacement Surgery"/>
    <s v="Follow-up"/>
    <n v="167573.69"/>
    <n v="100544.21"/>
    <n v="67029.48"/>
    <s v="Pending"/>
    <n v="14"/>
    <n v="0.59999997612990441"/>
    <n v="0.40000002387009559"/>
  </r>
  <r>
    <n v="10615"/>
    <s v="PAT-1036"/>
    <s v="Rohan Joshi"/>
    <s v="Male"/>
    <n v="41"/>
    <s v="Delhi"/>
    <s v="DOC-105"/>
    <s v="Dr. Amit Kumar"/>
    <x v="2"/>
    <n v="10"/>
    <d v="2025-05-12T00:00:00"/>
    <d v="2025-05-16T00:00:00"/>
    <s v="Ligament Tear Repair"/>
    <s v="Follow-up"/>
    <n v="80926.600000000006"/>
    <n v="50983.76"/>
    <n v="29942.84"/>
    <s v="Paid"/>
    <n v="4"/>
    <n v="0.63000002471375294"/>
    <n v="0.36999997528624701"/>
  </r>
  <r>
    <n v="10616"/>
    <s v="PAT-1002"/>
    <s v="Amit Saxena"/>
    <s v="Male"/>
    <n v="56"/>
    <s v="Ghaziabad"/>
    <s v="DOC-104"/>
    <s v="Dr. Vikramaditya Rao"/>
    <x v="3"/>
    <n v="18"/>
    <d v="2025-08-01T00:00:00"/>
    <d v="2025-08-14T00:00:00"/>
    <s v="Migraine &amp; Nerve Compression"/>
    <s v="Completed"/>
    <n v="26768.87"/>
    <n v="16864.39"/>
    <n v="9904.48"/>
    <s v="Pending"/>
    <n v="13"/>
    <n v="0.63000007097796806"/>
    <n v="0.36999992902203194"/>
  </r>
  <r>
    <n v="10617"/>
    <s v="PAT-1020"/>
    <s v="Ritu Verma"/>
    <s v="Female"/>
    <n v="68"/>
    <s v="Gurgaon"/>
    <s v="DOC-103"/>
    <s v="Dr. Sunita Kapoor"/>
    <x v="3"/>
    <n v="14"/>
    <d v="2025-01-11T00:00:00"/>
    <d v="2025-01-14T00:00:00"/>
    <s v="Acute Ischemic Stroke"/>
    <s v="Follow-up"/>
    <n v="305636.78999999998"/>
    <n v="220058.49"/>
    <n v="85578.3"/>
    <s v="Pending"/>
    <n v="3"/>
    <n v="0.72000000392622887"/>
    <n v="0.27999999607377113"/>
  </r>
  <r>
    <n v="10618"/>
    <s v="PAT-1027"/>
    <s v="Siddharth Verma"/>
    <s v="Female"/>
    <n v="33"/>
    <s v="Noida"/>
    <s v="DOC-106"/>
    <s v="Dr. Neha Sharma"/>
    <x v="2"/>
    <n v="8"/>
    <d v="2025-06-30T00:00:00"/>
    <d v="2025-07-06T00:00:00"/>
    <s v="Knee Replacement Surgery"/>
    <s v="Completed"/>
    <n v="319836.28999999998"/>
    <n v="204695.23"/>
    <n v="115141.06"/>
    <s v="Paid"/>
    <n v="6"/>
    <n v="0.64000001375703808"/>
    <n v="0.35999998624296198"/>
  </r>
  <r>
    <n v="10619"/>
    <s v="PAT-1031"/>
    <s v="Kavya Kumar"/>
    <s v="Male"/>
    <n v="53"/>
    <s v="Jaipur"/>
    <s v="DOC-106"/>
    <s v="Dr. Neha Sharma"/>
    <x v="2"/>
    <n v="8"/>
    <d v="2025-05-21T00:00:00"/>
    <d v="2025-05-28T00:00:00"/>
    <s v="Knee Replacement Surgery"/>
    <s v="Completed"/>
    <n v="286080.65000000002"/>
    <n v="174509.2"/>
    <n v="111571.45"/>
    <s v="Paid"/>
    <n v="7"/>
    <n v="0.61000001223431222"/>
    <n v="0.38999998776568773"/>
  </r>
  <r>
    <n v="10620"/>
    <s v="PAT-1036"/>
    <s v="Rohan Joshi"/>
    <s v="Male"/>
    <n v="41"/>
    <s v="Delhi"/>
    <s v="DOC-105"/>
    <s v="Dr. Amit Kumar"/>
    <x v="2"/>
    <n v="10"/>
    <d v="2025-04-04T00:00:00"/>
    <d v="2025-04-07T00:00:00"/>
    <s v="Knee Replacement Surgery"/>
    <s v="Completed"/>
    <n v="247989.66"/>
    <n v="188472.14"/>
    <n v="59517.52"/>
    <s v="Paid"/>
    <n v="3"/>
    <n v="0.75999999354811809"/>
    <n v="0.24000000645188188"/>
  </r>
  <r>
    <n v="10621"/>
    <s v="PAT-1030"/>
    <s v="Aarav Joshi"/>
    <s v="Male"/>
    <n v="68"/>
    <s v="Faridabad"/>
    <s v="DOC-105"/>
    <s v="Dr. Amit Kumar"/>
    <x v="2"/>
    <n v="10"/>
    <d v="2025-04-30T00:00:00"/>
    <d v="2025-05-12T00:00:00"/>
    <s v="Ligament Tear Repair"/>
    <s v="Completed"/>
    <n v="118871.69"/>
    <n v="74889.16"/>
    <n v="43982.53"/>
    <s v="Paid"/>
    <n v="12"/>
    <n v="0.62999996046156992"/>
    <n v="0.37000003953843003"/>
  </r>
  <r>
    <n v="10622"/>
    <s v="PAT-1006"/>
    <s v="Neha Singh"/>
    <s v="Female"/>
    <n v="68"/>
    <s v="Mumbai"/>
    <s v="DOC-106"/>
    <s v="Dr. Neha Sharma"/>
    <x v="2"/>
    <n v="8"/>
    <d v="2025-02-07T00:00:00"/>
    <d v="2025-02-17T00:00:00"/>
    <s v="Ligament Tear Repair"/>
    <s v="Completed"/>
    <n v="99536.97"/>
    <n v="78634.210000000006"/>
    <n v="20902.759999999998"/>
    <s v="Paid"/>
    <n v="10"/>
    <n v="0.79000003717211809"/>
    <n v="0.20999996282788191"/>
  </r>
  <r>
    <n v="10623"/>
    <s v="PAT-1044"/>
    <s v="Pooja Singh"/>
    <s v="Male"/>
    <n v="67"/>
    <s v="Hyderabad"/>
    <s v="DOC-108"/>
    <s v="Dr. Sanjay Gupta"/>
    <x v="1"/>
    <n v="11"/>
    <d v="2025-09-22T00:00:00"/>
    <d v="2025-09-26T00:00:00"/>
    <s v="Acute Viral Fever &amp; Infection"/>
    <s v="Completed"/>
    <n v="13642.77"/>
    <n v="9959.2199999999993"/>
    <n v="3683.55"/>
    <s v="Paid"/>
    <n v="4"/>
    <n v="0.72999984607231516"/>
    <n v="0.27000015392768478"/>
  </r>
  <r>
    <n v="10624"/>
    <s v="PAT-1024"/>
    <s v="Rahul Nair"/>
    <s v="Female"/>
    <n v="47"/>
    <s v="Delhi"/>
    <s v="DOC-101"/>
    <s v="Dr. Rajesh Khanna"/>
    <x v="0"/>
    <n v="15"/>
    <d v="2025-02-15T00:00:00"/>
    <d v="2025-02-20T00:00:00"/>
    <s v="Hypertension &amp; Arrhythmia"/>
    <s v="Follow-up"/>
    <n v="82177.02"/>
    <n v="61632.76"/>
    <n v="20544.259999999998"/>
    <s v="Paid"/>
    <n v="5"/>
    <n v="0.74999993915573959"/>
    <n v="0.2500000608442603"/>
  </r>
  <r>
    <n v="10625"/>
    <s v="PAT-1048"/>
    <s v="Pooja Verma"/>
    <s v="Female"/>
    <n v="39"/>
    <s v="Pune"/>
    <s v="DOC-107"/>
    <s v="Dr. Meera Nair"/>
    <x v="1"/>
    <n v="9"/>
    <d v="2025-09-25T00:00:00"/>
    <d v="2025-09-28T00:00:00"/>
    <s v="Pneumonia Management"/>
    <s v="Completed"/>
    <n v="33722.61"/>
    <n v="27315.31"/>
    <n v="6407.3"/>
    <s v="Pending"/>
    <n v="3"/>
    <n v="0.80999987841984955"/>
    <n v="0.19000012158015053"/>
  </r>
  <r>
    <n v="10626"/>
    <s v="PAT-1015"/>
    <s v="Vikram Verma"/>
    <s v="Male"/>
    <n v="43"/>
    <s v="Mumbai"/>
    <s v="DOC-101"/>
    <s v="Dr. Rajesh Khanna"/>
    <x v="0"/>
    <n v="15"/>
    <d v="2025-04-24T00:00:00"/>
    <d v="2025-05-05T00:00:00"/>
    <s v="Hypertension &amp; Arrhythmia"/>
    <s v="Completed"/>
    <n v="31743.89"/>
    <n v="25077.67"/>
    <n v="6666.22"/>
    <s v="Paid"/>
    <n v="11"/>
    <n v="0.78999990234341155"/>
    <n v="0.21000009765658842"/>
  </r>
  <r>
    <n v="10627"/>
    <s v="PAT-1019"/>
    <s v="Aarav Kapoor"/>
    <s v="Female"/>
    <n v="52"/>
    <s v="Hyderabad"/>
    <s v="DOC-102"/>
    <s v="Dr. Alok Verma"/>
    <x v="0"/>
    <n v="12"/>
    <d v="2025-02-13T00:00:00"/>
    <d v="2025-02-23T00:00:00"/>
    <s v="Hypertension &amp; Arrhythmia"/>
    <s v="Follow-up"/>
    <n v="53504.06"/>
    <n v="44943.41"/>
    <n v="8560.65"/>
    <s v="Paid"/>
    <n v="10"/>
    <n v="0.83999999252393198"/>
    <n v="0.16000000747606818"/>
  </r>
  <r>
    <n v="10628"/>
    <s v="PAT-1018"/>
    <s v="Pooja Saxena"/>
    <s v="Male"/>
    <n v="23"/>
    <s v="Noida"/>
    <s v="DOC-107"/>
    <s v="Dr. Meera Nair"/>
    <x v="1"/>
    <n v="9"/>
    <d v="2025-08-04T00:00:00"/>
    <d v="2025-08-06T00:00:00"/>
    <s v="Typhoid &amp; Severe Dehydration"/>
    <s v="Follow-up"/>
    <n v="26922.43"/>
    <n v="21807.17"/>
    <n v="5115.26"/>
    <s v="Paid"/>
    <n v="2"/>
    <n v="0.81000006314437434"/>
    <n v="0.18999993685562561"/>
  </r>
  <r>
    <n v="10629"/>
    <s v="PAT-1014"/>
    <s v="Sneha Gupta"/>
    <s v="Male"/>
    <n v="45"/>
    <s v="Gurgaon"/>
    <s v="DOC-102"/>
    <s v="Dr. Alok Verma"/>
    <x v="0"/>
    <n v="12"/>
    <d v="2025-08-12T00:00:00"/>
    <d v="2025-08-25T00:00:00"/>
    <s v="Coronary Artery Disease"/>
    <s v="Completed"/>
    <n v="216499.5"/>
    <n v="162374.62"/>
    <n v="54124.88"/>
    <s v="Paid"/>
    <n v="13"/>
    <n v="0.74999997690525844"/>
    <n v="0.25000002309474156"/>
  </r>
  <r>
    <n v="10630"/>
    <s v="PAT-1045"/>
    <s v="Sneha Sharma"/>
    <s v="Male"/>
    <n v="44"/>
    <s v="Hyderabad"/>
    <s v="DOC-104"/>
    <s v="Dr. Vikramaditya Rao"/>
    <x v="3"/>
    <n v="18"/>
    <d v="2025-07-09T00:00:00"/>
    <d v="2025-07-12T00:00:00"/>
    <s v="Acute Ischemic Stroke"/>
    <s v="Completed"/>
    <n v="134589.96"/>
    <n v="96904.77"/>
    <n v="37685.19"/>
    <s v="Pending"/>
    <n v="3"/>
    <n v="0.71999999108403046"/>
    <n v="0.28000000891596971"/>
  </r>
  <r>
    <n v="10631"/>
    <s v="PAT-1029"/>
    <s v="Amit Rao"/>
    <s v="Female"/>
    <n v="59"/>
    <s v="Jaipur"/>
    <s v="DOC-107"/>
    <s v="Dr. Meera Nair"/>
    <x v="1"/>
    <n v="9"/>
    <d v="2025-05-31T00:00:00"/>
    <d v="2025-06-14T00:00:00"/>
    <s v="Typhoid &amp; Severe Dehydration"/>
    <s v="Follow-up"/>
    <n v="29964.93"/>
    <n v="18278.61"/>
    <n v="11686.32"/>
    <s v="Paid"/>
    <n v="14"/>
    <n v="0.61000009010533318"/>
    <n v="0.38999990989466687"/>
  </r>
  <r>
    <n v="10632"/>
    <s v="PAT-1046"/>
    <s v="Amit Mehta"/>
    <s v="Male"/>
    <n v="49"/>
    <s v="Delhi"/>
    <s v="DOC-103"/>
    <s v="Dr. Sunita Kapoor"/>
    <x v="3"/>
    <n v="14"/>
    <d v="2025-12-12T00:00:00"/>
    <d v="2025-12-24T00:00:00"/>
    <s v="Acute Ischemic Stroke"/>
    <s v="Follow-up"/>
    <n v="305477.15999999997"/>
    <n v="229107.87"/>
    <n v="76369.289999999994"/>
    <s v="Paid"/>
    <n v="12"/>
    <n v="0.75"/>
    <n v="0.25"/>
  </r>
  <r>
    <n v="10633"/>
    <s v="PAT-1028"/>
    <s v="Vikram Kumar"/>
    <s v="Male"/>
    <n v="18"/>
    <s v="Delhi"/>
    <s v="DOC-104"/>
    <s v="Dr. Vikramaditya Rao"/>
    <x v="3"/>
    <n v="18"/>
    <d v="2025-03-16T00:00:00"/>
    <d v="2025-03-22T00:00:00"/>
    <s v="Acute Ischemic Stroke"/>
    <s v="Completed"/>
    <n v="151116.21"/>
    <n v="113337.16"/>
    <n v="37779.050000000003"/>
    <s v="Paid"/>
    <n v="6"/>
    <n v="0.75000001654355952"/>
    <n v="0.24999998345644062"/>
  </r>
  <r>
    <n v="10634"/>
    <s v="PAT-1019"/>
    <s v="Aarav Kapoor"/>
    <s v="Female"/>
    <n v="52"/>
    <s v="Hyderabad"/>
    <s v="DOC-107"/>
    <s v="Dr. Meera Nair"/>
    <x v="1"/>
    <n v="9"/>
    <d v="2025-09-20T00:00:00"/>
    <d v="2025-10-02T00:00:00"/>
    <s v="Acute Viral Fever &amp; Infection"/>
    <s v="Completed"/>
    <n v="22212.11"/>
    <n v="17325.45"/>
    <n v="4886.66"/>
    <s v="Paid"/>
    <n v="12"/>
    <n v="0.78000018908604363"/>
    <n v="0.21999981091395637"/>
  </r>
  <r>
    <n v="10635"/>
    <s v="PAT-1037"/>
    <s v="Kavya Kumar"/>
    <s v="Male"/>
    <n v="61"/>
    <s v="Mumbai"/>
    <s v="DOC-101"/>
    <s v="Dr. Rajesh Khanna"/>
    <x v="0"/>
    <n v="15"/>
    <d v="2025-12-04T00:00:00"/>
    <d v="2025-12-18T00:00:00"/>
    <s v="Coronary Artery Disease"/>
    <s v="Follow-up"/>
    <n v="234714.55"/>
    <n v="159605.89000000001"/>
    <n v="75108.66"/>
    <s v="Paid"/>
    <n v="14"/>
    <n v="0.67999998295802289"/>
    <n v="0.32000001704197717"/>
  </r>
  <r>
    <n v="10636"/>
    <s v="PAT-1021"/>
    <s v="Amit Gupta"/>
    <s v="Male"/>
    <n v="65"/>
    <s v="Pune"/>
    <s v="DOC-108"/>
    <s v="Dr. Sanjay Gupta"/>
    <x v="1"/>
    <n v="11"/>
    <d v="2025-10-24T00:00:00"/>
    <d v="2025-10-26T00:00:00"/>
    <s v="Pneumonia Management"/>
    <s v="Follow-up"/>
    <n v="70381.88"/>
    <n v="47859.68"/>
    <n v="22522.2"/>
    <s v="Pending"/>
    <n v="2"/>
    <n v="0.68000002273312388"/>
    <n v="0.31999997726687607"/>
  </r>
  <r>
    <n v="10637"/>
    <s v="PAT-1018"/>
    <s v="Pooja Saxena"/>
    <s v="Male"/>
    <n v="23"/>
    <s v="Noida"/>
    <s v="DOC-108"/>
    <s v="Dr. Sanjay Gupta"/>
    <x v="1"/>
    <n v="11"/>
    <d v="2025-04-13T00:00:00"/>
    <d v="2025-04-20T00:00:00"/>
    <s v="Pneumonia Management"/>
    <s v="Completed"/>
    <n v="62554.49"/>
    <n v="42537.05"/>
    <n v="20017.439999999999"/>
    <s v="Paid"/>
    <n v="7"/>
    <n v="0.67999994884459936"/>
    <n v="0.32000005115540064"/>
  </r>
  <r>
    <n v="10638"/>
    <s v="PAT-1035"/>
    <s v="Rahul Verma"/>
    <s v="Male"/>
    <n v="27"/>
    <s v="Noida"/>
    <s v="DOC-106"/>
    <s v="Dr. Neha Sharma"/>
    <x v="2"/>
    <n v="8"/>
    <d v="2025-01-12T00:00:00"/>
    <d v="2025-01-18T00:00:00"/>
    <s v="Ligament Tear Repair"/>
    <s v="Follow-up"/>
    <n v="70800.509999999995"/>
    <n v="57348.41"/>
    <n v="13452.1"/>
    <s v="Paid"/>
    <n v="6"/>
    <n v="0.80999995621500476"/>
    <n v="0.19000004378499535"/>
  </r>
  <r>
    <n v="10639"/>
    <s v="PAT-1045"/>
    <s v="Sneha Sharma"/>
    <s v="Male"/>
    <n v="44"/>
    <s v="Hyderabad"/>
    <s v="DOC-103"/>
    <s v="Dr. Sunita Kapoor"/>
    <x v="3"/>
    <n v="14"/>
    <d v="2025-02-19T00:00:00"/>
    <d v="2025-02-25T00:00:00"/>
    <s v="Migraine &amp; Nerve Compression"/>
    <s v="Completed"/>
    <n v="17075.38"/>
    <n v="11440.5"/>
    <n v="5634.88"/>
    <s v="Paid"/>
    <n v="6"/>
    <n v="0.66999973060628804"/>
    <n v="0.33000026939371185"/>
  </r>
  <r>
    <n v="10640"/>
    <s v="PAT-1013"/>
    <s v="Neha Nair"/>
    <s v="Female"/>
    <n v="18"/>
    <s v="Faridabad"/>
    <s v="DOC-101"/>
    <s v="Dr. Rajesh Khanna"/>
    <x v="0"/>
    <n v="15"/>
    <d v="2025-04-20T00:00:00"/>
    <d v="2025-05-04T00:00:00"/>
    <s v="Coronary Artery Disease"/>
    <s v="Completed"/>
    <n v="363340.77"/>
    <n v="294306.02"/>
    <n v="69034.75"/>
    <s v="Paid"/>
    <n v="14"/>
    <n v="0.80999998981672217"/>
    <n v="0.19000001018327781"/>
  </r>
  <r>
    <n v="10641"/>
    <s v="PAT-1031"/>
    <s v="Kavya Kumar"/>
    <s v="Male"/>
    <n v="53"/>
    <s v="Jaipur"/>
    <s v="DOC-108"/>
    <s v="Dr. Sanjay Gupta"/>
    <x v="1"/>
    <n v="11"/>
    <d v="2025-01-02T00:00:00"/>
    <d v="2025-01-14T00:00:00"/>
    <s v="Acute Viral Fever &amp; Infection"/>
    <s v="Completed"/>
    <n v="13205.25"/>
    <n v="9639.83"/>
    <n v="3565.42"/>
    <s v="Paid"/>
    <n v="12"/>
    <n v="0.72999981068135777"/>
    <n v="0.27000018931864223"/>
  </r>
  <r>
    <n v="10642"/>
    <s v="PAT-1039"/>
    <s v="Rahul Saxena"/>
    <s v="Female"/>
    <n v="37"/>
    <s v="Faridabad"/>
    <s v="DOC-102"/>
    <s v="Dr. Alok Verma"/>
    <x v="0"/>
    <n v="12"/>
    <d v="2025-06-23T00:00:00"/>
    <d v="2025-07-01T00:00:00"/>
    <s v="Hypertension &amp; Arrhythmia"/>
    <s v="Completed"/>
    <n v="63066.98"/>
    <n v="40993.54"/>
    <n v="22073.439999999999"/>
    <s v="Pending"/>
    <n v="8"/>
    <n v="0.65000004756847396"/>
    <n v="0.34999995243152593"/>
  </r>
  <r>
    <n v="10643"/>
    <s v="PAT-1005"/>
    <s v="Rohan Verma"/>
    <s v="Female"/>
    <n v="67"/>
    <s v="Pune"/>
    <s v="DOC-101"/>
    <s v="Dr. Rajesh Khanna"/>
    <x v="0"/>
    <n v="15"/>
    <d v="2025-05-28T00:00:00"/>
    <d v="2025-06-09T00:00:00"/>
    <s v="Heart Failure Management"/>
    <s v="Completed"/>
    <n v="82053.27"/>
    <n v="59898.89"/>
    <n v="22154.38"/>
    <s v="Paid"/>
    <n v="12"/>
    <n v="0.7300000353428937"/>
    <n v="0.2699999646571063"/>
  </r>
  <r>
    <n v="10644"/>
    <s v="PAT-1028"/>
    <s v="Vikram Kumar"/>
    <s v="Male"/>
    <n v="18"/>
    <s v="Delhi"/>
    <s v="DOC-105"/>
    <s v="Dr. Amit Kumar"/>
    <x v="2"/>
    <n v="10"/>
    <d v="2025-01-14T00:00:00"/>
    <d v="2025-01-28T00:00:00"/>
    <s v="Ligament Tear Repair"/>
    <s v="Completed"/>
    <n v="56765.39"/>
    <n v="38032.81"/>
    <n v="18732.580000000002"/>
    <s v="Paid"/>
    <n v="14"/>
    <n v="0.66999997709872161"/>
    <n v="0.33000002290127844"/>
  </r>
  <r>
    <n v="10645"/>
    <s v="PAT-1029"/>
    <s v="Amit Rao"/>
    <s v="Female"/>
    <n v="59"/>
    <s v="Jaipur"/>
    <s v="DOC-102"/>
    <s v="Dr. Alok Verma"/>
    <x v="0"/>
    <n v="12"/>
    <d v="2025-07-13T00:00:00"/>
    <d v="2025-07-16T00:00:00"/>
    <s v="Hypertension &amp; Arrhythmia"/>
    <s v="Follow-up"/>
    <n v="69956.03"/>
    <n v="42673.18"/>
    <n v="27282.85"/>
    <s v="Paid"/>
    <n v="3"/>
    <n v="0.61000002430097877"/>
    <n v="0.38999997569902123"/>
  </r>
  <r>
    <n v="10646"/>
    <s v="PAT-1033"/>
    <s v="Vikram Joshi"/>
    <s v="Female"/>
    <n v="75"/>
    <s v="Bangalore"/>
    <s v="DOC-107"/>
    <s v="Dr. Meera Nair"/>
    <x v="1"/>
    <n v="9"/>
    <d v="2025-09-25T00:00:00"/>
    <d v="2025-10-03T00:00:00"/>
    <s v="Typhoid &amp; Severe Dehydration"/>
    <s v="Completed"/>
    <n v="25905.17"/>
    <n v="19946.98"/>
    <n v="5958.19"/>
    <s v="Paid"/>
    <n v="8"/>
    <n v="0.76999996525790027"/>
    <n v="0.23000003474209973"/>
  </r>
  <r>
    <n v="10647"/>
    <s v="PAT-1010"/>
    <s v="Siddharth Rao"/>
    <s v="Male"/>
    <n v="45"/>
    <s v="Noida"/>
    <s v="DOC-106"/>
    <s v="Dr. Neha Sharma"/>
    <x v="2"/>
    <n v="8"/>
    <d v="2025-08-06T00:00:00"/>
    <d v="2025-08-15T00:00:00"/>
    <s v="Cervical Spondylosis"/>
    <s v="Completed"/>
    <n v="20823.5"/>
    <n v="16034.1"/>
    <n v="4789.3999999999996"/>
    <s v="Pending"/>
    <n v="9"/>
    <n v="0.77000024011333346"/>
    <n v="0.22999975988666649"/>
  </r>
  <r>
    <n v="10648"/>
    <s v="PAT-1008"/>
    <s v="Priya Rao"/>
    <s v="Female"/>
    <n v="37"/>
    <s v="Ghaziabad"/>
    <s v="DOC-103"/>
    <s v="Dr. Sunita Kapoor"/>
    <x v="3"/>
    <n v="14"/>
    <d v="2025-02-05T00:00:00"/>
    <d v="2025-02-10T00:00:00"/>
    <s v="Migraine &amp; Nerve Compression"/>
    <s v="Follow-up"/>
    <n v="39653.5"/>
    <n v="26171.31"/>
    <n v="13482.19"/>
    <s v="Pending"/>
    <n v="5"/>
    <n v="0.66"/>
    <n v="0.34"/>
  </r>
  <r>
    <n v="10649"/>
    <s v="PAT-1028"/>
    <s v="Vikram Kumar"/>
    <s v="Male"/>
    <n v="18"/>
    <s v="Delhi"/>
    <s v="DOC-107"/>
    <s v="Dr. Meera Nair"/>
    <x v="1"/>
    <n v="9"/>
    <d v="2025-09-03T00:00:00"/>
    <d v="2025-09-06T00:00:00"/>
    <s v="Typhoid &amp; Severe Dehydration"/>
    <s v="Completed"/>
    <n v="23721.62"/>
    <n v="15656.27"/>
    <n v="8065.35"/>
    <s v="Paid"/>
    <n v="3"/>
    <n v="0.66000003372450955"/>
    <n v="0.33999996627549051"/>
  </r>
  <r>
    <n v="10650"/>
    <s v="PAT-1027"/>
    <s v="Siddharth Verma"/>
    <s v="Female"/>
    <n v="33"/>
    <s v="Noida"/>
    <s v="DOC-106"/>
    <s v="Dr. Neha Sharma"/>
    <x v="2"/>
    <n v="8"/>
    <d v="2025-05-19T00:00:00"/>
    <d v="2025-05-27T00:00:00"/>
    <s v="Knee Replacement Surgery"/>
    <s v="Completed"/>
    <n v="256800.99"/>
    <n v="208008.8"/>
    <n v="48792.19"/>
    <s v="Paid"/>
    <n v="8"/>
    <n v="0.80999999260127464"/>
    <n v="0.19000000739872538"/>
  </r>
  <r>
    <n v="10651"/>
    <s v="PAT-1040"/>
    <s v="Pooja Mehta"/>
    <s v="Male"/>
    <n v="74"/>
    <s v="Bangalore"/>
    <s v="DOC-107"/>
    <s v="Dr. Meera Nair"/>
    <x v="1"/>
    <n v="9"/>
    <d v="2025-03-17T00:00:00"/>
    <d v="2025-03-25T00:00:00"/>
    <s v="Pneumonia Management"/>
    <s v="Completed"/>
    <n v="72108.12"/>
    <n v="60570.82"/>
    <n v="11537.3"/>
    <s v="Paid"/>
    <n v="8"/>
    <n v="0.83999998890554906"/>
    <n v="0.16000001109445094"/>
  </r>
  <r>
    <n v="10652"/>
    <s v="PAT-1036"/>
    <s v="Rohan Joshi"/>
    <s v="Male"/>
    <n v="41"/>
    <s v="Delhi"/>
    <s v="DOC-107"/>
    <s v="Dr. Meera Nair"/>
    <x v="1"/>
    <n v="9"/>
    <d v="2025-07-18T00:00:00"/>
    <d v="2025-07-23T00:00:00"/>
    <s v="Typhoid &amp; Severe Dehydration"/>
    <s v="Follow-up"/>
    <n v="24362.19"/>
    <n v="19002.509999999998"/>
    <n v="5359.68"/>
    <s v="Pending"/>
    <n v="5"/>
    <n v="0.78000007388498327"/>
    <n v="0.21999992611501679"/>
  </r>
  <r>
    <n v="10653"/>
    <s v="PAT-1012"/>
    <s v="Ananya Saxena"/>
    <s v="Male"/>
    <n v="40"/>
    <s v="Delhi"/>
    <s v="DOC-104"/>
    <s v="Dr. Vikramaditya Rao"/>
    <x v="3"/>
    <n v="18"/>
    <d v="2025-07-20T00:00:00"/>
    <d v="2025-07-22T00:00:00"/>
    <s v="Acute Ischemic Stroke"/>
    <s v="Completed"/>
    <n v="131418.74"/>
    <n v="81479.62"/>
    <n v="49939.12"/>
    <s v="Paid"/>
    <n v="2"/>
    <n v="0.62000000913111786"/>
    <n v="0.3799999908688822"/>
  </r>
  <r>
    <n v="10654"/>
    <s v="PAT-1004"/>
    <s v="Neha Patel"/>
    <s v="Male"/>
    <n v="34"/>
    <s v="Ghaziabad"/>
    <s v="DOC-107"/>
    <s v="Dr. Meera Nair"/>
    <x v="1"/>
    <n v="9"/>
    <d v="2025-06-09T00:00:00"/>
    <d v="2025-06-22T00:00:00"/>
    <s v="Pneumonia Management"/>
    <s v="Completed"/>
    <n v="30784.94"/>
    <n v="21549.46"/>
    <n v="9235.48"/>
    <s v="Paid"/>
    <n v="13"/>
    <n v="0.7000000649668312"/>
    <n v="0.2999999350331688"/>
  </r>
  <r>
    <n v="10655"/>
    <s v="PAT-1012"/>
    <s v="Ananya Saxena"/>
    <s v="Male"/>
    <n v="40"/>
    <s v="Delhi"/>
    <s v="DOC-107"/>
    <s v="Dr. Meera Nair"/>
    <x v="1"/>
    <n v="9"/>
    <d v="2025-12-01T00:00:00"/>
    <d v="2025-12-14T00:00:00"/>
    <s v="Typhoid &amp; Severe Dehydration"/>
    <s v="Completed"/>
    <n v="24349.99"/>
    <n v="17775.490000000002"/>
    <n v="6574.5"/>
    <s v="Paid"/>
    <n v="13"/>
    <n v="0.72999988911699765"/>
    <n v="0.27000011088300241"/>
  </r>
  <r>
    <n v="10656"/>
    <s v="PAT-1039"/>
    <s v="Rahul Saxena"/>
    <s v="Female"/>
    <n v="37"/>
    <s v="Faridabad"/>
    <s v="DOC-108"/>
    <s v="Dr. Sanjay Gupta"/>
    <x v="1"/>
    <n v="11"/>
    <d v="2025-02-20T00:00:00"/>
    <d v="2025-03-03T00:00:00"/>
    <s v="Pneumonia Management"/>
    <s v="Follow-up"/>
    <n v="58845.32"/>
    <n v="35307.19"/>
    <n v="23538.13"/>
    <s v="Paid"/>
    <n v="11"/>
    <n v="0.59999996601259031"/>
    <n v="0.40000003398740974"/>
  </r>
  <r>
    <n v="10657"/>
    <s v="PAT-1008"/>
    <s v="Priya Rao"/>
    <s v="Female"/>
    <n v="37"/>
    <s v="Ghaziabad"/>
    <s v="DOC-105"/>
    <s v="Dr. Amit Kumar"/>
    <x v="2"/>
    <n v="10"/>
    <d v="2025-08-27T00:00:00"/>
    <d v="2025-09-06T00:00:00"/>
    <s v="Knee Replacement Surgery"/>
    <s v="Completed"/>
    <n v="333671.15999999997"/>
    <n v="213549.54"/>
    <n v="120121.62"/>
    <s v="Paid"/>
    <n v="10"/>
    <n v="0.6399999928072897"/>
    <n v="0.36000000719271036"/>
  </r>
  <r>
    <n v="10658"/>
    <s v="PAT-1011"/>
    <s v="Siddharth Nair"/>
    <s v="Female"/>
    <n v="18"/>
    <s v="Hyderabad"/>
    <s v="DOC-105"/>
    <s v="Dr. Amit Kumar"/>
    <x v="2"/>
    <n v="10"/>
    <d v="2025-02-23T00:00:00"/>
    <d v="2025-03-06T00:00:00"/>
    <s v="Ligament Tear Repair"/>
    <s v="Follow-up"/>
    <n v="93826.39"/>
    <n v="73184.58"/>
    <n v="20641.810000000001"/>
    <s v="Paid"/>
    <n v="11"/>
    <n v="0.77999995523647458"/>
    <n v="0.2200000447635255"/>
  </r>
  <r>
    <n v="10659"/>
    <s v="PAT-1036"/>
    <s v="Rohan Joshi"/>
    <s v="Male"/>
    <n v="41"/>
    <s v="Delhi"/>
    <s v="DOC-106"/>
    <s v="Dr. Neha Sharma"/>
    <x v="2"/>
    <n v="8"/>
    <d v="2025-04-16T00:00:00"/>
    <d v="2025-04-26T00:00:00"/>
    <s v="Knee Replacement Surgery"/>
    <s v="Completed"/>
    <n v="176834.55"/>
    <n v="143235.99"/>
    <n v="33598.559999999998"/>
    <s v="Paid"/>
    <n v="10"/>
    <n v="0.81000002544751581"/>
    <n v="0.18999997455248424"/>
  </r>
  <r>
    <n v="10660"/>
    <s v="PAT-1001"/>
    <s v="Sneha Singh"/>
    <s v="Female"/>
    <n v="47"/>
    <s v="Delhi"/>
    <s v="DOC-107"/>
    <s v="Dr. Meera Nair"/>
    <x v="1"/>
    <n v="9"/>
    <d v="2025-09-03T00:00:00"/>
    <d v="2025-09-14T00:00:00"/>
    <s v="Pneumonia Management"/>
    <s v="Completed"/>
    <n v="49765.09"/>
    <n v="34337.910000000003"/>
    <n v="15427.18"/>
    <s v="Paid"/>
    <n v="11"/>
    <n v="0.68999995780174428"/>
    <n v="0.31000004219825589"/>
  </r>
  <r>
    <n v="10661"/>
    <s v="PAT-1038"/>
    <s v="Rahul Kumar"/>
    <s v="Male"/>
    <n v="26"/>
    <s v="Hyderabad"/>
    <s v="DOC-107"/>
    <s v="Dr. Meera Nair"/>
    <x v="1"/>
    <n v="9"/>
    <d v="2025-10-30T00:00:00"/>
    <d v="2025-11-05T00:00:00"/>
    <s v="Acute Viral Fever &amp; Infection"/>
    <s v="Follow-up"/>
    <n v="17121.830000000002"/>
    <n v="13012.59"/>
    <n v="4109.24"/>
    <s v="Paid"/>
    <n v="6"/>
    <n v="0.75999995327602243"/>
    <n v="0.24000004672397748"/>
  </r>
  <r>
    <n v="10662"/>
    <s v="PAT-1041"/>
    <s v="Ananya Patel"/>
    <s v="Female"/>
    <n v="66"/>
    <s v="Delhi"/>
    <s v="DOC-105"/>
    <s v="Dr. Amit Kumar"/>
    <x v="2"/>
    <n v="10"/>
    <d v="2025-05-06T00:00:00"/>
    <d v="2025-05-18T00:00:00"/>
    <s v="Knee Replacement Surgery"/>
    <s v="Follow-up"/>
    <n v="213058.92"/>
    <n v="174708.31"/>
    <n v="38350.61"/>
    <s v="Pending"/>
    <n v="12"/>
    <n v="0.8199999793484356"/>
    <n v="0.18000002065156437"/>
  </r>
  <r>
    <n v="10663"/>
    <s v="PAT-1044"/>
    <s v="Pooja Singh"/>
    <s v="Male"/>
    <n v="67"/>
    <s v="Hyderabad"/>
    <s v="DOC-104"/>
    <s v="Dr. Vikramaditya Rao"/>
    <x v="3"/>
    <n v="18"/>
    <d v="2025-09-04T00:00:00"/>
    <d v="2025-09-14T00:00:00"/>
    <s v="Acute Ischemic Stroke"/>
    <s v="Completed"/>
    <n v="228871.26"/>
    <n v="148766.32"/>
    <n v="80104.94"/>
    <s v="Pending"/>
    <n v="10"/>
    <n v="0.65000000436926852"/>
    <n v="0.34999999563073142"/>
  </r>
  <r>
    <n v="10664"/>
    <s v="PAT-1012"/>
    <s v="Ananya Saxena"/>
    <s v="Male"/>
    <n v="40"/>
    <s v="Delhi"/>
    <s v="DOC-104"/>
    <s v="Dr. Vikramaditya Rao"/>
    <x v="3"/>
    <n v="18"/>
    <d v="2025-03-19T00:00:00"/>
    <d v="2025-03-28T00:00:00"/>
    <s v="Migraine &amp; Nerve Compression"/>
    <s v="Completed"/>
    <n v="15027.2"/>
    <n v="9917.9500000000007"/>
    <n v="5109.25"/>
    <s v="Paid"/>
    <n v="9"/>
    <n v="0.65999986690800683"/>
    <n v="0.34000013309199317"/>
  </r>
  <r>
    <n v="10665"/>
    <s v="PAT-1008"/>
    <s v="Priya Rao"/>
    <s v="Female"/>
    <n v="37"/>
    <s v="Ghaziabad"/>
    <s v="DOC-102"/>
    <s v="Dr. Alok Verma"/>
    <x v="0"/>
    <n v="12"/>
    <d v="2025-01-21T00:00:00"/>
    <d v="2025-01-26T00:00:00"/>
    <s v="Heart Failure Management"/>
    <s v="Follow-up"/>
    <n v="168587.49"/>
    <n v="123068.87"/>
    <n v="45518.62"/>
    <s v="Pending"/>
    <n v="5"/>
    <n v="0.7300000136427679"/>
    <n v="0.2699999863572321"/>
  </r>
  <r>
    <n v="10666"/>
    <s v="PAT-1025"/>
    <s v="Ananya Mehta"/>
    <s v="Female"/>
    <n v="23"/>
    <s v="Faridabad"/>
    <s v="DOC-103"/>
    <s v="Dr. Sunita Kapoor"/>
    <x v="3"/>
    <n v="14"/>
    <d v="2025-05-13T00:00:00"/>
    <d v="2025-05-19T00:00:00"/>
    <s v="Acute Ischemic Stroke"/>
    <s v="Completed"/>
    <n v="131039.82"/>
    <n v="106142.25"/>
    <n v="24897.57"/>
    <s v="Paid"/>
    <n v="6"/>
    <n v="0.8099999679486739"/>
    <n v="0.19000003205132607"/>
  </r>
  <r>
    <n v="10667"/>
    <s v="PAT-1008"/>
    <s v="Priya Rao"/>
    <s v="Female"/>
    <n v="37"/>
    <s v="Ghaziabad"/>
    <s v="DOC-103"/>
    <s v="Dr. Sunita Kapoor"/>
    <x v="3"/>
    <n v="14"/>
    <d v="2025-01-10T00:00:00"/>
    <d v="2025-01-21T00:00:00"/>
    <s v="Acute Ischemic Stroke"/>
    <s v="Completed"/>
    <n v="299364.38"/>
    <n v="179618.63"/>
    <n v="119745.75"/>
    <s v="Paid"/>
    <n v="11"/>
    <n v="0.60000000668082154"/>
    <n v="0.39999999331917846"/>
  </r>
  <r>
    <n v="10668"/>
    <s v="PAT-1041"/>
    <s v="Ananya Patel"/>
    <s v="Female"/>
    <n v="66"/>
    <s v="Delhi"/>
    <s v="DOC-101"/>
    <s v="Dr. Rajesh Khanna"/>
    <x v="0"/>
    <n v="15"/>
    <d v="2025-08-11T00:00:00"/>
    <d v="2025-08-15T00:00:00"/>
    <s v="Heart Failure Management"/>
    <s v="Follow-up"/>
    <n v="82133.570000000007"/>
    <n v="64885.52"/>
    <n v="17248.05"/>
    <s v="Paid"/>
    <n v="4"/>
    <n v="0.78999999634741302"/>
    <n v="0.21000000365258686"/>
  </r>
  <r>
    <n v="10669"/>
    <s v="PAT-1040"/>
    <s v="Pooja Mehta"/>
    <s v="Male"/>
    <n v="74"/>
    <s v="Bangalore"/>
    <s v="DOC-102"/>
    <s v="Dr. Alok Verma"/>
    <x v="0"/>
    <n v="12"/>
    <d v="2025-12-11T00:00:00"/>
    <d v="2025-12-22T00:00:00"/>
    <s v="Hypertension &amp; Arrhythmia"/>
    <s v="Completed"/>
    <n v="62977.71"/>
    <n v="51011.95"/>
    <n v="11965.76"/>
    <s v="Paid"/>
    <n v="11"/>
    <n v="0.81000007780530603"/>
    <n v="0.18999992219469397"/>
  </r>
  <r>
    <n v="10670"/>
    <s v="PAT-1031"/>
    <s v="Kavya Kumar"/>
    <s v="Male"/>
    <n v="53"/>
    <s v="Jaipur"/>
    <s v="DOC-106"/>
    <s v="Dr. Neha Sharma"/>
    <x v="2"/>
    <n v="8"/>
    <d v="2025-10-05T00:00:00"/>
    <d v="2025-10-09T00:00:00"/>
    <s v="Knee Replacement Surgery"/>
    <s v="Follow-up"/>
    <n v="327177.28999999998"/>
    <n v="255198.29"/>
    <n v="71979"/>
    <s v="Pending"/>
    <n v="4"/>
    <n v="0.78000001161449817"/>
    <n v="0.21999998838550194"/>
  </r>
  <r>
    <n v="10671"/>
    <s v="PAT-1050"/>
    <s v="Priya Mehta"/>
    <s v="Male"/>
    <n v="33"/>
    <s v="Mumbai"/>
    <s v="DOC-101"/>
    <s v="Dr. Rajesh Khanna"/>
    <x v="0"/>
    <n v="15"/>
    <d v="2025-08-10T00:00:00"/>
    <d v="2025-08-21T00:00:00"/>
    <s v="Hypertension &amp; Arrhythmia"/>
    <s v="Follow-up"/>
    <n v="36710.620000000003"/>
    <n v="26798.75"/>
    <n v="9911.8700000000008"/>
    <s v="Paid"/>
    <n v="11"/>
    <n v="0.72999992917580792"/>
    <n v="0.27000007082419203"/>
  </r>
  <r>
    <n v="10672"/>
    <s v="PAT-1043"/>
    <s v="Kavya Kumar"/>
    <s v="Male"/>
    <n v="35"/>
    <s v="Pune"/>
    <s v="DOC-103"/>
    <s v="Dr. Sunita Kapoor"/>
    <x v="3"/>
    <n v="14"/>
    <d v="2025-01-17T00:00:00"/>
    <d v="2025-01-22T00:00:00"/>
    <s v="Epilepsy Monitoring"/>
    <s v="Completed"/>
    <n v="71992.960000000006"/>
    <n v="53274.79"/>
    <n v="18718.169999999998"/>
    <s v="Pending"/>
    <n v="5"/>
    <n v="0.73999999444390108"/>
    <n v="0.26000000555609876"/>
  </r>
  <r>
    <n v="10673"/>
    <s v="PAT-1044"/>
    <s v="Pooja Singh"/>
    <s v="Male"/>
    <n v="67"/>
    <s v="Hyderabad"/>
    <s v="DOC-104"/>
    <s v="Dr. Vikramaditya Rao"/>
    <x v="3"/>
    <n v="18"/>
    <d v="2025-04-26T00:00:00"/>
    <d v="2025-05-05T00:00:00"/>
    <s v="Epilepsy Monitoring"/>
    <s v="Completed"/>
    <n v="31865.31"/>
    <n v="24854.94"/>
    <n v="7010.37"/>
    <s v="Paid"/>
    <n v="9"/>
    <n v="0.77999994351223945"/>
    <n v="0.2200000564877605"/>
  </r>
  <r>
    <n v="10674"/>
    <s v="PAT-1020"/>
    <s v="Ritu Verma"/>
    <s v="Female"/>
    <n v="68"/>
    <s v="Gurgaon"/>
    <s v="DOC-105"/>
    <s v="Dr. Amit Kumar"/>
    <x v="2"/>
    <n v="10"/>
    <d v="2025-11-21T00:00:00"/>
    <d v="2025-11-25T00:00:00"/>
    <s v="Ligament Tear Repair"/>
    <s v="Completed"/>
    <n v="122637.68"/>
    <n v="88299.13"/>
    <n v="34338.550000000003"/>
    <s v="Pending"/>
    <n v="4"/>
    <n v="0.72000000326164038"/>
    <n v="0.27999999673835974"/>
  </r>
  <r>
    <n v="10675"/>
    <s v="PAT-1008"/>
    <s v="Priya Rao"/>
    <s v="Female"/>
    <n v="37"/>
    <s v="Ghaziabad"/>
    <s v="DOC-101"/>
    <s v="Dr. Rajesh Khanna"/>
    <x v="0"/>
    <n v="15"/>
    <d v="2025-03-27T00:00:00"/>
    <d v="2025-04-06T00:00:00"/>
    <s v="Heart Failure Management"/>
    <s v="Completed"/>
    <n v="84416.04"/>
    <n v="51493.78"/>
    <n v="32922.26"/>
    <s v="Paid"/>
    <n v="10"/>
    <n v="0.60999994787720446"/>
    <n v="0.39000005212279565"/>
  </r>
  <r>
    <n v="10676"/>
    <s v="PAT-1018"/>
    <s v="Pooja Saxena"/>
    <s v="Male"/>
    <n v="23"/>
    <s v="Noida"/>
    <s v="DOC-104"/>
    <s v="Dr. Vikramaditya Rao"/>
    <x v="3"/>
    <n v="18"/>
    <d v="2025-09-18T00:00:00"/>
    <d v="2025-09-26T00:00:00"/>
    <s v="Acute Ischemic Stroke"/>
    <s v="Follow-up"/>
    <n v="268544.73"/>
    <n v="204093.99"/>
    <n v="64450.74"/>
    <s v="Paid"/>
    <n v="8"/>
    <n v="0.75999998212588271"/>
    <n v="0.24000001787411729"/>
  </r>
  <r>
    <n v="10677"/>
    <s v="PAT-1037"/>
    <s v="Kavya Kumar"/>
    <s v="Male"/>
    <n v="61"/>
    <s v="Mumbai"/>
    <s v="DOC-105"/>
    <s v="Dr. Amit Kumar"/>
    <x v="2"/>
    <n v="10"/>
    <d v="2025-02-25T00:00:00"/>
    <d v="2025-02-28T00:00:00"/>
    <s v="Cervical Spondylosis"/>
    <s v="Completed"/>
    <n v="32611.279999999999"/>
    <n v="21197.33"/>
    <n v="11413.95"/>
    <s v="Paid"/>
    <n v="3"/>
    <n v="0.64999993867152728"/>
    <n v="0.35000006132847289"/>
  </r>
  <r>
    <n v="10678"/>
    <s v="PAT-1024"/>
    <s v="Rahul Nair"/>
    <s v="Female"/>
    <n v="47"/>
    <s v="Delhi"/>
    <s v="DOC-105"/>
    <s v="Dr. Amit Kumar"/>
    <x v="2"/>
    <n v="10"/>
    <d v="2025-04-04T00:00:00"/>
    <d v="2025-04-06T00:00:00"/>
    <s v="Cervical Spondylosis"/>
    <s v="Follow-up"/>
    <n v="30887.27"/>
    <n v="25636.43"/>
    <n v="5250.84"/>
    <s v="Paid"/>
    <n v="2"/>
    <n v="0.82999986725923014"/>
    <n v="0.17000013274076992"/>
  </r>
  <r>
    <n v="10679"/>
    <s v="PAT-1018"/>
    <s v="Pooja Saxena"/>
    <s v="Male"/>
    <n v="23"/>
    <s v="Noida"/>
    <s v="DOC-103"/>
    <s v="Dr. Sunita Kapoor"/>
    <x v="3"/>
    <n v="14"/>
    <d v="2025-11-02T00:00:00"/>
    <d v="2025-11-14T00:00:00"/>
    <s v="Migraine &amp; Nerve Compression"/>
    <s v="Completed"/>
    <n v="19913.47"/>
    <n v="14337.7"/>
    <n v="5575.77"/>
    <s v="Paid"/>
    <n v="12"/>
    <n v="0.72000008034762397"/>
    <n v="0.27999991965237603"/>
  </r>
  <r>
    <n v="10680"/>
    <s v="PAT-1034"/>
    <s v="Siddharth Kumar"/>
    <s v="Male"/>
    <n v="65"/>
    <s v="Ghaziabad"/>
    <s v="DOC-101"/>
    <s v="Dr. Rajesh Khanna"/>
    <x v="0"/>
    <n v="15"/>
    <d v="2025-12-03T00:00:00"/>
    <d v="2025-12-06T00:00:00"/>
    <s v="Hypertension &amp; Arrhythmia"/>
    <s v="Completed"/>
    <n v="72766.17"/>
    <n v="53119.3"/>
    <n v="19646.87"/>
    <s v="Paid"/>
    <n v="3"/>
    <n v="0.72999994365513543"/>
    <n v="0.27000005634486463"/>
  </r>
  <r>
    <n v="10681"/>
    <s v="PAT-1042"/>
    <s v="Ananya Sharma"/>
    <s v="Female"/>
    <n v="65"/>
    <s v="Hyderabad"/>
    <s v="DOC-102"/>
    <s v="Dr. Alok Verma"/>
    <x v="0"/>
    <n v="12"/>
    <d v="2025-08-26T00:00:00"/>
    <d v="2025-09-09T00:00:00"/>
    <s v="Hypertension &amp; Arrhythmia"/>
    <s v="Completed"/>
    <n v="35086.33"/>
    <n v="27367.34"/>
    <n v="7718.99"/>
    <s v="Pending"/>
    <n v="14"/>
    <n v="0.78000007410293404"/>
    <n v="0.21999992589706588"/>
  </r>
  <r>
    <n v="10682"/>
    <s v="PAT-1033"/>
    <s v="Vikram Joshi"/>
    <s v="Female"/>
    <n v="75"/>
    <s v="Bangalore"/>
    <s v="DOC-102"/>
    <s v="Dr. Alok Verma"/>
    <x v="0"/>
    <n v="12"/>
    <d v="2025-10-01T00:00:00"/>
    <d v="2025-10-12T00:00:00"/>
    <s v="Hypertension &amp; Arrhythmia"/>
    <s v="Follow-up"/>
    <n v="62825.39"/>
    <n v="52145.07"/>
    <n v="10680.32"/>
    <s v="Paid"/>
    <n v="11"/>
    <n v="0.82999994110661313"/>
    <n v="0.1700000588933869"/>
  </r>
  <r>
    <n v="10683"/>
    <s v="PAT-1022"/>
    <s v="Kavya Gupta"/>
    <s v="Male"/>
    <n v="27"/>
    <s v="Faridabad"/>
    <s v="DOC-104"/>
    <s v="Dr. Vikramaditya Rao"/>
    <x v="3"/>
    <n v="18"/>
    <d v="2025-09-27T00:00:00"/>
    <d v="2025-10-09T00:00:00"/>
    <s v="Epilepsy Monitoring"/>
    <s v="Completed"/>
    <n v="69190.45"/>
    <n v="44973.79"/>
    <n v="24216.66"/>
    <s v="Paid"/>
    <n v="12"/>
    <n v="0.64999996386784598"/>
    <n v="0.35000003613215408"/>
  </r>
  <r>
    <n v="10684"/>
    <s v="PAT-1049"/>
    <s v="Pooja Verma"/>
    <s v="Male"/>
    <n v="48"/>
    <s v="Bangalore"/>
    <s v="DOC-107"/>
    <s v="Dr. Meera Nair"/>
    <x v="1"/>
    <n v="9"/>
    <d v="2025-04-15T00:00:00"/>
    <d v="2025-04-23T00:00:00"/>
    <s v="Typhoid &amp; Severe Dehydration"/>
    <s v="Completed"/>
    <n v="30733.54"/>
    <n v="22742.82"/>
    <n v="7990.72"/>
    <s v="Paid"/>
    <n v="8"/>
    <n v="0.74000001301509688"/>
    <n v="0.25999998698490312"/>
  </r>
  <r>
    <n v="10685"/>
    <s v="PAT-1029"/>
    <s v="Amit Rao"/>
    <s v="Female"/>
    <n v="59"/>
    <s v="Jaipur"/>
    <s v="DOC-107"/>
    <s v="Dr. Meera Nair"/>
    <x v="1"/>
    <n v="9"/>
    <d v="2025-01-06T00:00:00"/>
    <d v="2025-01-12T00:00:00"/>
    <s v="Pneumonia Management"/>
    <s v="Completed"/>
    <n v="39246.93"/>
    <n v="23940.63"/>
    <n v="15306.3"/>
    <s v="Paid"/>
    <n v="6"/>
    <n v="0.61000006879518986"/>
    <n v="0.38999993120481014"/>
  </r>
  <r>
    <n v="10686"/>
    <s v="PAT-1030"/>
    <s v="Aarav Joshi"/>
    <s v="Male"/>
    <n v="68"/>
    <s v="Faridabad"/>
    <s v="DOC-108"/>
    <s v="Dr. Sanjay Gupta"/>
    <x v="1"/>
    <n v="11"/>
    <d v="2025-02-25T00:00:00"/>
    <d v="2025-03-06T00:00:00"/>
    <s v="Typhoid &amp; Severe Dehydration"/>
    <s v="Completed"/>
    <n v="26199.54"/>
    <n v="17815.689999999999"/>
    <n v="8383.85"/>
    <s v="Paid"/>
    <n v="9"/>
    <n v="0.68000010687210533"/>
    <n v="0.31999989312789462"/>
  </r>
  <r>
    <n v="10687"/>
    <s v="PAT-1029"/>
    <s v="Amit Rao"/>
    <s v="Female"/>
    <n v="59"/>
    <s v="Jaipur"/>
    <s v="DOC-102"/>
    <s v="Dr. Alok Verma"/>
    <x v="0"/>
    <n v="12"/>
    <d v="2025-04-03T00:00:00"/>
    <d v="2025-04-14T00:00:00"/>
    <s v="Hypertension &amp; Arrhythmia"/>
    <s v="Follow-up"/>
    <n v="57911.67"/>
    <n v="35326.120000000003"/>
    <n v="22585.55"/>
    <s v="Paid"/>
    <n v="11"/>
    <n v="0.61000002244797991"/>
    <n v="0.38999997755202015"/>
  </r>
  <r>
    <n v="10688"/>
    <s v="PAT-1036"/>
    <s v="Rohan Joshi"/>
    <s v="Male"/>
    <n v="41"/>
    <s v="Delhi"/>
    <s v="DOC-102"/>
    <s v="Dr. Alok Verma"/>
    <x v="0"/>
    <n v="12"/>
    <d v="2025-12-15T00:00:00"/>
    <d v="2025-12-17T00:00:00"/>
    <s v="Coronary Artery Disease"/>
    <s v="Follow-up"/>
    <n v="376068.1"/>
    <n v="293333.12"/>
    <n v="82734.98"/>
    <s v="Pending"/>
    <n v="2"/>
    <n v="0.78000000531818581"/>
    <n v="0.21999999468181428"/>
  </r>
  <r>
    <n v="10689"/>
    <s v="PAT-1019"/>
    <s v="Aarav Kapoor"/>
    <s v="Female"/>
    <n v="52"/>
    <s v="Hyderabad"/>
    <s v="DOC-102"/>
    <s v="Dr. Alok Verma"/>
    <x v="0"/>
    <n v="12"/>
    <d v="2025-08-15T00:00:00"/>
    <d v="2025-08-23T00:00:00"/>
    <s v="Heart Failure Management"/>
    <s v="Completed"/>
    <n v="219654.97"/>
    <n v="158151.57999999999"/>
    <n v="61503.39"/>
    <s v="Paid"/>
    <n v="8"/>
    <n v="0.72000000728415103"/>
    <n v="0.27999999271584886"/>
  </r>
  <r>
    <n v="10690"/>
    <s v="PAT-1021"/>
    <s v="Amit Gupta"/>
    <s v="Male"/>
    <n v="65"/>
    <s v="Pune"/>
    <s v="DOC-108"/>
    <s v="Dr. Sanjay Gupta"/>
    <x v="1"/>
    <n v="11"/>
    <d v="2025-10-05T00:00:00"/>
    <d v="2025-10-07T00:00:00"/>
    <s v="Typhoid &amp; Severe Dehydration"/>
    <s v="Completed"/>
    <n v="29767.02"/>
    <n v="19646.23"/>
    <n v="10120.790000000001"/>
    <s v="Pending"/>
    <n v="2"/>
    <n v="0.65999989249847646"/>
    <n v="0.34000010750152354"/>
  </r>
  <r>
    <n v="10691"/>
    <s v="PAT-1024"/>
    <s v="Rahul Nair"/>
    <s v="Female"/>
    <n v="47"/>
    <s v="Delhi"/>
    <s v="DOC-104"/>
    <s v="Dr. Vikramaditya Rao"/>
    <x v="3"/>
    <n v="18"/>
    <d v="2025-04-11T00:00:00"/>
    <d v="2025-04-17T00:00:00"/>
    <s v="Acute Ischemic Stroke"/>
    <s v="Completed"/>
    <n v="287666.08"/>
    <n v="192736.27"/>
    <n v="94929.81"/>
    <s v="Paid"/>
    <n v="6"/>
    <n v="0.66999998748549006"/>
    <n v="0.33000001251450983"/>
  </r>
  <r>
    <n v="10692"/>
    <s v="PAT-1017"/>
    <s v="Ritu Saxena"/>
    <s v="Female"/>
    <n v="73"/>
    <s v="Gurgaon"/>
    <s v="DOC-103"/>
    <s v="Dr. Sunita Kapoor"/>
    <x v="3"/>
    <n v="14"/>
    <d v="2025-03-17T00:00:00"/>
    <d v="2025-03-22T00:00:00"/>
    <s v="Migraine &amp; Nerve Compression"/>
    <s v="Completed"/>
    <n v="38296.99"/>
    <n v="31020.560000000001"/>
    <n v="7276.43"/>
    <s v="Paid"/>
    <n v="5"/>
    <n v="0.80999995038774597"/>
    <n v="0.19000004961225414"/>
  </r>
  <r>
    <n v="10693"/>
    <s v="PAT-1027"/>
    <s v="Siddharth Verma"/>
    <s v="Female"/>
    <n v="33"/>
    <s v="Noida"/>
    <s v="DOC-107"/>
    <s v="Dr. Meera Nair"/>
    <x v="1"/>
    <n v="9"/>
    <d v="2025-06-07T00:00:00"/>
    <d v="2025-06-11T00:00:00"/>
    <s v="Typhoid &amp; Severe Dehydration"/>
    <s v="Follow-up"/>
    <n v="31196.99"/>
    <n v="24957.59"/>
    <n v="6239.4"/>
    <s v="Paid"/>
    <n v="4"/>
    <n v="0.79999993589125096"/>
    <n v="0.20000006410874893"/>
  </r>
  <r>
    <n v="10694"/>
    <s v="PAT-1004"/>
    <s v="Neha Patel"/>
    <s v="Male"/>
    <n v="34"/>
    <s v="Ghaziabad"/>
    <s v="DOC-101"/>
    <s v="Dr. Rajesh Khanna"/>
    <x v="0"/>
    <n v="15"/>
    <d v="2025-12-10T00:00:00"/>
    <d v="2025-12-16T00:00:00"/>
    <s v="Coronary Artery Disease"/>
    <s v="Completed"/>
    <n v="252005.45"/>
    <n v="168843.65"/>
    <n v="83161.8"/>
    <s v="Paid"/>
    <n v="6"/>
    <n v="0.66999999404774768"/>
    <n v="0.33000000595225221"/>
  </r>
  <r>
    <n v="10695"/>
    <s v="PAT-1030"/>
    <s v="Aarav Joshi"/>
    <s v="Male"/>
    <n v="68"/>
    <s v="Faridabad"/>
    <s v="DOC-103"/>
    <s v="Dr. Sunita Kapoor"/>
    <x v="3"/>
    <n v="14"/>
    <d v="2025-06-23T00:00:00"/>
    <d v="2025-06-25T00:00:00"/>
    <s v="Migraine &amp; Nerve Compression"/>
    <s v="Completed"/>
    <n v="43033.46"/>
    <n v="33996.43"/>
    <n v="9037.0300000000007"/>
    <s v="Paid"/>
    <n v="2"/>
    <n v="0.78999992099171201"/>
    <n v="0.21000007900828799"/>
  </r>
  <r>
    <n v="10696"/>
    <s v="PAT-1050"/>
    <s v="Priya Mehta"/>
    <s v="Male"/>
    <n v="33"/>
    <s v="Mumbai"/>
    <s v="DOC-105"/>
    <s v="Dr. Amit Kumar"/>
    <x v="2"/>
    <n v="10"/>
    <d v="2025-04-09T00:00:00"/>
    <d v="2025-04-22T00:00:00"/>
    <s v="Cervical Spondylosis"/>
    <s v="Completed"/>
    <n v="26226.3"/>
    <n v="17047.099999999999"/>
    <n v="9179.2000000000007"/>
    <s v="Paid"/>
    <n v="13"/>
    <n v="0.6500001906483186"/>
    <n v="0.34999980935168135"/>
  </r>
  <r>
    <n v="10697"/>
    <s v="PAT-1039"/>
    <s v="Rahul Saxena"/>
    <s v="Female"/>
    <n v="37"/>
    <s v="Faridabad"/>
    <s v="DOC-106"/>
    <s v="Dr. Neha Sharma"/>
    <x v="2"/>
    <n v="8"/>
    <d v="2025-07-11T00:00:00"/>
    <d v="2025-07-25T00:00:00"/>
    <s v="Knee Replacement Surgery"/>
    <s v="Completed"/>
    <n v="207401.52"/>
    <n v="141033.03"/>
    <n v="66368.490000000005"/>
    <s v="Paid"/>
    <n v="14"/>
    <n v="0.6799999826423645"/>
    <n v="0.32000001735763561"/>
  </r>
  <r>
    <n v="10698"/>
    <s v="PAT-1032"/>
    <s v="Rahul Joshi"/>
    <s v="Female"/>
    <n v="19"/>
    <s v="Gurgaon"/>
    <s v="DOC-106"/>
    <s v="Dr. Neha Sharma"/>
    <x v="2"/>
    <n v="8"/>
    <d v="2025-11-21T00:00:00"/>
    <d v="2025-11-29T00:00:00"/>
    <s v="Knee Replacement Surgery"/>
    <s v="Completed"/>
    <n v="186512.34"/>
    <n v="143614.5"/>
    <n v="42897.84"/>
    <s v="Paid"/>
    <n v="8"/>
    <n v="0.769999990349164"/>
    <n v="0.23000000965083595"/>
  </r>
  <r>
    <n v="10699"/>
    <s v="PAT-1003"/>
    <s v="Manish Mehta"/>
    <s v="Female"/>
    <n v="62"/>
    <s v="Ghaziabad"/>
    <s v="DOC-103"/>
    <s v="Dr. Sunita Kapoor"/>
    <x v="3"/>
    <n v="14"/>
    <d v="2025-03-30T00:00:00"/>
    <d v="2025-04-02T00:00:00"/>
    <s v="Epilepsy Monitoring"/>
    <s v="Follow-up"/>
    <n v="69361.100000000006"/>
    <n v="45778.33"/>
    <n v="23582.77"/>
    <s v="Pending"/>
    <n v="3"/>
    <n v="0.66000005766921221"/>
    <n v="0.33999994233078767"/>
  </r>
  <r>
    <n v="10700"/>
    <s v="PAT-1010"/>
    <s v="Siddharth Rao"/>
    <s v="Male"/>
    <n v="45"/>
    <s v="Noida"/>
    <s v="DOC-104"/>
    <s v="Dr. Vikramaditya Rao"/>
    <x v="3"/>
    <n v="18"/>
    <d v="2025-05-29T00:00:00"/>
    <d v="2025-06-02T00:00:00"/>
    <s v="Migraine &amp; Nerve Compression"/>
    <s v="Completed"/>
    <n v="18156.62"/>
    <n v="12346.5"/>
    <n v="5810.12"/>
    <s v="Paid"/>
    <n v="4"/>
    <n v="0.67999991187787157"/>
    <n v="0.32000008812212849"/>
  </r>
  <r>
    <n v="10701"/>
    <s v="PAT-1033"/>
    <s v="Vikram Joshi"/>
    <s v="Female"/>
    <n v="75"/>
    <s v="Bangalore"/>
    <s v="DOC-108"/>
    <s v="Dr. Sanjay Gupta"/>
    <x v="1"/>
    <n v="11"/>
    <d v="2025-07-08T00:00:00"/>
    <d v="2025-07-18T00:00:00"/>
    <s v="Pneumonia Management"/>
    <s v="Completed"/>
    <n v="42326.09"/>
    <n v="26665.439999999999"/>
    <n v="15660.65"/>
    <s v="Pending"/>
    <n v="10"/>
    <n v="0.63000007796609614"/>
    <n v="0.36999992203390392"/>
  </r>
  <r>
    <n v="10702"/>
    <s v="PAT-1009"/>
    <s v="Priya Kumar"/>
    <s v="Female"/>
    <n v="60"/>
    <s v="Faridabad"/>
    <s v="DOC-108"/>
    <s v="Dr. Sanjay Gupta"/>
    <x v="1"/>
    <n v="11"/>
    <d v="2025-07-14T00:00:00"/>
    <d v="2025-07-16T00:00:00"/>
    <s v="Typhoid &amp; Severe Dehydration"/>
    <s v="Completed"/>
    <n v="15538.85"/>
    <n v="12431.08"/>
    <n v="3107.77"/>
    <s v="Pending"/>
    <n v="2"/>
    <n v="0.79999999999999993"/>
    <n v="0.19999999999999998"/>
  </r>
  <r>
    <n v="10703"/>
    <s v="PAT-1017"/>
    <s v="Ritu Saxena"/>
    <s v="Female"/>
    <n v="73"/>
    <s v="Gurgaon"/>
    <s v="DOC-103"/>
    <s v="Dr. Sunita Kapoor"/>
    <x v="3"/>
    <n v="14"/>
    <d v="2025-06-27T00:00:00"/>
    <d v="2025-07-04T00:00:00"/>
    <s v="Migraine &amp; Nerve Compression"/>
    <s v="Completed"/>
    <n v="18221.98"/>
    <n v="12937.61"/>
    <n v="5284.37"/>
    <s v="Paid"/>
    <n v="7"/>
    <n v="0.7100002304908688"/>
    <n v="0.28999976950913126"/>
  </r>
  <r>
    <n v="10704"/>
    <s v="PAT-1044"/>
    <s v="Pooja Singh"/>
    <s v="Male"/>
    <n v="67"/>
    <s v="Hyderabad"/>
    <s v="DOC-101"/>
    <s v="Dr. Rajesh Khanna"/>
    <x v="0"/>
    <n v="15"/>
    <d v="2025-07-21T00:00:00"/>
    <d v="2025-08-01T00:00:00"/>
    <s v="Coronary Artery Disease"/>
    <s v="Follow-up"/>
    <n v="316423.07"/>
    <n v="265795.38"/>
    <n v="50627.69"/>
    <s v="Paid"/>
    <n v="11"/>
    <n v="0.84000000379239104"/>
    <n v="0.15999999620760902"/>
  </r>
  <r>
    <n v="10705"/>
    <s v="PAT-1008"/>
    <s v="Priya Rao"/>
    <s v="Female"/>
    <n v="37"/>
    <s v="Ghaziabad"/>
    <s v="DOC-104"/>
    <s v="Dr. Vikramaditya Rao"/>
    <x v="3"/>
    <n v="18"/>
    <d v="2025-10-21T00:00:00"/>
    <d v="2025-10-28T00:00:00"/>
    <s v="Acute Ischemic Stroke"/>
    <s v="Completed"/>
    <n v="92689.36"/>
    <n v="63955.66"/>
    <n v="28733.7"/>
    <s v="Paid"/>
    <n v="7"/>
    <n v="0.69000001726195981"/>
    <n v="0.30999998273804025"/>
  </r>
  <r>
    <n v="10706"/>
    <s v="PAT-1030"/>
    <s v="Aarav Joshi"/>
    <s v="Male"/>
    <n v="68"/>
    <s v="Faridabad"/>
    <s v="DOC-101"/>
    <s v="Dr. Rajesh Khanna"/>
    <x v="0"/>
    <n v="15"/>
    <d v="2025-07-14T00:00:00"/>
    <d v="2025-07-21T00:00:00"/>
    <s v="Coronary Artery Disease"/>
    <s v="Follow-up"/>
    <n v="248307.49"/>
    <n v="196162.92"/>
    <n v="52144.57"/>
    <s v="Pending"/>
    <n v="7"/>
    <n v="0.79000001167906786"/>
    <n v="0.20999998832093225"/>
  </r>
  <r>
    <n v="10707"/>
    <s v="PAT-1009"/>
    <s v="Priya Kumar"/>
    <s v="Female"/>
    <n v="60"/>
    <s v="Faridabad"/>
    <s v="DOC-103"/>
    <s v="Dr. Sunita Kapoor"/>
    <x v="3"/>
    <n v="14"/>
    <d v="2025-04-04T00:00:00"/>
    <d v="2025-04-14T00:00:00"/>
    <s v="Epilepsy Monitoring"/>
    <s v="Completed"/>
    <n v="75156.66"/>
    <n v="47348.7"/>
    <n v="27807.96"/>
    <s v="Paid"/>
    <n v="10"/>
    <n v="0.6300000558832709"/>
    <n v="0.36999994411672893"/>
  </r>
  <r>
    <n v="10708"/>
    <s v="PAT-1008"/>
    <s v="Priya Rao"/>
    <s v="Female"/>
    <n v="37"/>
    <s v="Ghaziabad"/>
    <s v="DOC-101"/>
    <s v="Dr. Rajesh Khanna"/>
    <x v="0"/>
    <n v="15"/>
    <d v="2025-10-02T00:00:00"/>
    <d v="2025-10-05T00:00:00"/>
    <s v="Heart Failure Management"/>
    <s v="Completed"/>
    <n v="143195.38"/>
    <n v="118852.17"/>
    <n v="24343.21"/>
    <s v="Paid"/>
    <n v="3"/>
    <n v="0.83000003212394136"/>
    <n v="0.16999996787605856"/>
  </r>
  <r>
    <n v="10709"/>
    <s v="PAT-1042"/>
    <s v="Ananya Sharma"/>
    <s v="Female"/>
    <n v="65"/>
    <s v="Hyderabad"/>
    <s v="DOC-104"/>
    <s v="Dr. Vikramaditya Rao"/>
    <x v="3"/>
    <n v="18"/>
    <d v="2025-06-05T00:00:00"/>
    <d v="2025-06-17T00:00:00"/>
    <s v="Migraine &amp; Nerve Compression"/>
    <s v="Completed"/>
    <n v="26231.99"/>
    <n v="20198.63"/>
    <n v="6033.36"/>
    <s v="Paid"/>
    <n v="12"/>
    <n v="0.76999991232079612"/>
    <n v="0.23000008767920388"/>
  </r>
  <r>
    <n v="10710"/>
    <s v="PAT-1029"/>
    <s v="Amit Rao"/>
    <s v="Female"/>
    <n v="59"/>
    <s v="Jaipur"/>
    <s v="DOC-103"/>
    <s v="Dr. Sunita Kapoor"/>
    <x v="3"/>
    <n v="14"/>
    <d v="2025-10-17T00:00:00"/>
    <d v="2025-10-19T00:00:00"/>
    <s v="Acute Ischemic Stroke"/>
    <s v="Completed"/>
    <n v="91362.91"/>
    <n v="54817.75"/>
    <n v="36545.160000000003"/>
    <s v="Pending"/>
    <n v="2"/>
    <n v="0.60000004378144256"/>
    <n v="0.39999995621855744"/>
  </r>
  <r>
    <n v="10711"/>
    <s v="PAT-1030"/>
    <s v="Aarav Joshi"/>
    <s v="Male"/>
    <n v="68"/>
    <s v="Faridabad"/>
    <s v="DOC-102"/>
    <s v="Dr. Alok Verma"/>
    <x v="0"/>
    <n v="12"/>
    <d v="2025-08-05T00:00:00"/>
    <d v="2025-08-12T00:00:00"/>
    <s v="Coronary Artery Disease"/>
    <s v="Follow-up"/>
    <n v="349505.22"/>
    <n v="223683.34"/>
    <n v="125821.88"/>
    <s v="Paid"/>
    <n v="7"/>
    <n v="0.63999999771104998"/>
    <n v="0.36000000228895013"/>
  </r>
  <r>
    <n v="10712"/>
    <s v="PAT-1015"/>
    <s v="Vikram Verma"/>
    <s v="Male"/>
    <n v="43"/>
    <s v="Mumbai"/>
    <s v="DOC-107"/>
    <s v="Dr. Meera Nair"/>
    <x v="1"/>
    <n v="9"/>
    <d v="2025-05-28T00:00:00"/>
    <d v="2025-06-02T00:00:00"/>
    <s v="Typhoid &amp; Severe Dehydration"/>
    <s v="Completed"/>
    <n v="31077.88"/>
    <n v="19889.84"/>
    <n v="11188.04"/>
    <s v="Paid"/>
    <n v="5"/>
    <n v="0.63999989703287352"/>
    <n v="0.36000010296712648"/>
  </r>
  <r>
    <n v="10713"/>
    <s v="PAT-1030"/>
    <s v="Aarav Joshi"/>
    <s v="Male"/>
    <n v="68"/>
    <s v="Faridabad"/>
    <s v="DOC-105"/>
    <s v="Dr. Amit Kumar"/>
    <x v="2"/>
    <n v="10"/>
    <d v="2025-12-07T00:00:00"/>
    <d v="2025-12-10T00:00:00"/>
    <s v="Knee Replacement Surgery"/>
    <s v="Completed"/>
    <n v="205742.91"/>
    <n v="158422.04"/>
    <n v="47320.87"/>
    <s v="Pending"/>
    <n v="3"/>
    <n v="0.76999999659769569"/>
    <n v="0.23000000340230436"/>
  </r>
  <r>
    <n v="10714"/>
    <s v="PAT-1040"/>
    <s v="Pooja Mehta"/>
    <s v="Male"/>
    <n v="74"/>
    <s v="Bangalore"/>
    <s v="DOC-104"/>
    <s v="Dr. Vikramaditya Rao"/>
    <x v="3"/>
    <n v="18"/>
    <d v="2025-12-16T00:00:00"/>
    <d v="2025-12-23T00:00:00"/>
    <s v="Epilepsy Monitoring"/>
    <s v="Follow-up"/>
    <n v="59679.16"/>
    <n v="38194.660000000003"/>
    <n v="21484.5"/>
    <s v="Paid"/>
    <n v="7"/>
    <n v="0.63999995978495683"/>
    <n v="0.36000004021504323"/>
  </r>
  <r>
    <n v="10715"/>
    <s v="PAT-1024"/>
    <s v="Rahul Nair"/>
    <s v="Female"/>
    <n v="47"/>
    <s v="Delhi"/>
    <s v="DOC-101"/>
    <s v="Dr. Rajesh Khanna"/>
    <x v="0"/>
    <n v="15"/>
    <d v="2025-10-23T00:00:00"/>
    <d v="2025-10-30T00:00:00"/>
    <s v="Coronary Artery Disease"/>
    <s v="Completed"/>
    <n v="212759.81"/>
    <n v="161697.46"/>
    <n v="51062.35"/>
    <s v="Paid"/>
    <n v="7"/>
    <n v="0.76000002068059747"/>
    <n v="0.23999997931940248"/>
  </r>
  <r>
    <n v="10716"/>
    <s v="PAT-1030"/>
    <s v="Aarav Joshi"/>
    <s v="Male"/>
    <n v="68"/>
    <s v="Faridabad"/>
    <s v="DOC-102"/>
    <s v="Dr. Alok Verma"/>
    <x v="0"/>
    <n v="12"/>
    <d v="2025-10-06T00:00:00"/>
    <d v="2025-10-18T00:00:00"/>
    <s v="Hypertension &amp; Arrhythmia"/>
    <s v="Completed"/>
    <n v="39142.99"/>
    <n v="27791.52"/>
    <n v="11351.47"/>
    <s v="Paid"/>
    <n v="12"/>
    <n v="0.70999992591266026"/>
    <n v="0.2900000740873398"/>
  </r>
  <r>
    <n v="10717"/>
    <s v="PAT-1048"/>
    <s v="Pooja Verma"/>
    <s v="Female"/>
    <n v="39"/>
    <s v="Pune"/>
    <s v="DOC-101"/>
    <s v="Dr. Rajesh Khanna"/>
    <x v="0"/>
    <n v="15"/>
    <d v="2025-06-17T00:00:00"/>
    <d v="2025-06-22T00:00:00"/>
    <s v="Hypertension &amp; Arrhythmia"/>
    <s v="Follow-up"/>
    <n v="75047.789999999994"/>
    <n v="60788.71"/>
    <n v="14259.08"/>
    <s v="Paid"/>
    <n v="5"/>
    <n v="0.81000000133248429"/>
    <n v="0.18999999866751574"/>
  </r>
  <r>
    <n v="10718"/>
    <s v="PAT-1040"/>
    <s v="Pooja Mehta"/>
    <s v="Male"/>
    <n v="74"/>
    <s v="Bangalore"/>
    <s v="DOC-105"/>
    <s v="Dr. Amit Kumar"/>
    <x v="2"/>
    <n v="10"/>
    <d v="2025-05-23T00:00:00"/>
    <d v="2025-05-27T00:00:00"/>
    <s v="Ligament Tear Repair"/>
    <s v="Completed"/>
    <n v="102154.73"/>
    <n v="71508.31"/>
    <n v="30646.42"/>
    <s v="Pending"/>
    <n v="4"/>
    <n v="0.69999999021092807"/>
    <n v="0.30000000978907193"/>
  </r>
  <r>
    <n v="10719"/>
    <s v="PAT-1024"/>
    <s v="Rahul Nair"/>
    <s v="Female"/>
    <n v="47"/>
    <s v="Delhi"/>
    <s v="DOC-103"/>
    <s v="Dr. Sunita Kapoor"/>
    <x v="3"/>
    <n v="14"/>
    <d v="2025-11-16T00:00:00"/>
    <d v="2025-11-23T00:00:00"/>
    <s v="Acute Ischemic Stroke"/>
    <s v="Completed"/>
    <n v="306485.58"/>
    <n v="199215.63"/>
    <n v="107269.95"/>
    <s v="Paid"/>
    <n v="7"/>
    <n v="0.65000000978838868"/>
    <n v="0.34999999021161121"/>
  </r>
  <r>
    <n v="10720"/>
    <s v="PAT-1011"/>
    <s v="Siddharth Nair"/>
    <s v="Female"/>
    <n v="18"/>
    <s v="Hyderabad"/>
    <s v="DOC-107"/>
    <s v="Dr. Meera Nair"/>
    <x v="1"/>
    <n v="9"/>
    <d v="2025-08-13T00:00:00"/>
    <d v="2025-08-16T00:00:00"/>
    <s v="Typhoid &amp; Severe Dehydration"/>
    <s v="Follow-up"/>
    <n v="28513.439999999999"/>
    <n v="23951.29"/>
    <n v="4562.1499999999996"/>
    <s v="Paid"/>
    <n v="3"/>
    <n v="0.84000001402847224"/>
    <n v="0.15999998597152781"/>
  </r>
  <r>
    <n v="10721"/>
    <s v="PAT-1045"/>
    <s v="Sneha Sharma"/>
    <s v="Male"/>
    <n v="44"/>
    <s v="Hyderabad"/>
    <s v="DOC-107"/>
    <s v="Dr. Meera Nair"/>
    <x v="1"/>
    <n v="9"/>
    <d v="2025-04-04T00:00:00"/>
    <d v="2025-04-12T00:00:00"/>
    <s v="Pneumonia Management"/>
    <s v="Completed"/>
    <n v="59029.23"/>
    <n v="43681.63"/>
    <n v="15347.6"/>
    <s v="Pending"/>
    <n v="8"/>
    <n v="0.73999999661184801"/>
    <n v="0.26000000338815193"/>
  </r>
  <r>
    <n v="10722"/>
    <s v="PAT-1025"/>
    <s v="Ananya Mehta"/>
    <s v="Female"/>
    <n v="23"/>
    <s v="Faridabad"/>
    <s v="DOC-107"/>
    <s v="Dr. Meera Nair"/>
    <x v="1"/>
    <n v="9"/>
    <d v="2025-11-19T00:00:00"/>
    <d v="2025-12-03T00:00:00"/>
    <s v="Typhoid &amp; Severe Dehydration"/>
    <s v="Completed"/>
    <n v="16109.9"/>
    <n v="11760.23"/>
    <n v="4349.67"/>
    <s v="Paid"/>
    <n v="14"/>
    <n v="0.73000018622089524"/>
    <n v="0.26999981377910476"/>
  </r>
  <r>
    <n v="10723"/>
    <s v="PAT-1050"/>
    <s v="Priya Mehta"/>
    <s v="Male"/>
    <n v="33"/>
    <s v="Mumbai"/>
    <s v="DOC-106"/>
    <s v="Dr. Neha Sharma"/>
    <x v="2"/>
    <n v="8"/>
    <d v="2025-11-18T00:00:00"/>
    <d v="2025-11-26T00:00:00"/>
    <s v="Knee Replacement Surgery"/>
    <s v="Follow-up"/>
    <n v="376242.65"/>
    <n v="248320.15"/>
    <n v="127922.5"/>
    <s v="Paid"/>
    <n v="8"/>
    <n v="0.66000000265785919"/>
    <n v="0.33999999734214076"/>
  </r>
  <r>
    <n v="10724"/>
    <s v="PAT-1024"/>
    <s v="Rahul Nair"/>
    <s v="Female"/>
    <n v="47"/>
    <s v="Delhi"/>
    <s v="DOC-105"/>
    <s v="Dr. Amit Kumar"/>
    <x v="2"/>
    <n v="10"/>
    <d v="2025-01-16T00:00:00"/>
    <d v="2025-01-29T00:00:00"/>
    <s v="Knee Replacement Surgery"/>
    <s v="Completed"/>
    <n v="378136.95"/>
    <n v="283602.71000000002"/>
    <n v="94534.24"/>
    <s v="Paid"/>
    <n v="13"/>
    <n v="0.74999999338863876"/>
    <n v="0.25000000661136129"/>
  </r>
  <r>
    <n v="10725"/>
    <s v="PAT-1006"/>
    <s v="Neha Singh"/>
    <s v="Female"/>
    <n v="68"/>
    <s v="Mumbai"/>
    <s v="DOC-105"/>
    <s v="Dr. Amit Kumar"/>
    <x v="2"/>
    <n v="10"/>
    <d v="2025-06-20T00:00:00"/>
    <d v="2025-07-04T00:00:00"/>
    <s v="Cervical Spondylosis"/>
    <s v="Follow-up"/>
    <n v="64177.39"/>
    <n v="51983.69"/>
    <n v="12193.7"/>
    <s v="Paid"/>
    <n v="14"/>
    <n v="0.81000006388542756"/>
    <n v="0.18999993611457244"/>
  </r>
  <r>
    <n v="10726"/>
    <s v="PAT-1002"/>
    <s v="Amit Saxena"/>
    <s v="Male"/>
    <n v="56"/>
    <s v="Ghaziabad"/>
    <s v="DOC-108"/>
    <s v="Dr. Sanjay Gupta"/>
    <x v="1"/>
    <n v="11"/>
    <d v="2025-12-10T00:00:00"/>
    <d v="2025-12-13T00:00:00"/>
    <s v="Pneumonia Management"/>
    <s v="Completed"/>
    <n v="37504.71"/>
    <n v="24378.06"/>
    <n v="13126.65"/>
    <s v="Paid"/>
    <n v="3"/>
    <n v="0.64999996000502347"/>
    <n v="0.35000003999497664"/>
  </r>
  <r>
    <n v="10727"/>
    <s v="PAT-1013"/>
    <s v="Neha Nair"/>
    <s v="Female"/>
    <n v="18"/>
    <s v="Faridabad"/>
    <s v="DOC-101"/>
    <s v="Dr. Rajesh Khanna"/>
    <x v="0"/>
    <n v="15"/>
    <d v="2025-05-17T00:00:00"/>
    <d v="2025-05-28T00:00:00"/>
    <s v="Hypertension &amp; Arrhythmia"/>
    <s v="Follow-up"/>
    <n v="72279.460000000006"/>
    <n v="57823.57"/>
    <n v="14455.89"/>
    <s v="Paid"/>
    <n v="11"/>
    <n v="0.80000002767037826"/>
    <n v="0.19999997232962169"/>
  </r>
  <r>
    <n v="10728"/>
    <s v="PAT-1028"/>
    <s v="Vikram Kumar"/>
    <s v="Male"/>
    <n v="18"/>
    <s v="Delhi"/>
    <s v="DOC-105"/>
    <s v="Dr. Amit Kumar"/>
    <x v="2"/>
    <n v="10"/>
    <d v="2025-06-14T00:00:00"/>
    <d v="2025-06-16T00:00:00"/>
    <s v="Ligament Tear Repair"/>
    <s v="Completed"/>
    <n v="99390.54"/>
    <n v="76530.720000000001"/>
    <n v="22859.82"/>
    <s v="Paid"/>
    <n v="2"/>
    <n v="0.77000004225754293"/>
    <n v="0.22999995774245718"/>
  </r>
  <r>
    <n v="10729"/>
    <s v="PAT-1006"/>
    <s v="Neha Singh"/>
    <s v="Female"/>
    <n v="68"/>
    <s v="Mumbai"/>
    <s v="DOC-101"/>
    <s v="Dr. Rajesh Khanna"/>
    <x v="0"/>
    <n v="15"/>
    <d v="2025-07-21T00:00:00"/>
    <d v="2025-08-02T00:00:00"/>
    <s v="Hypertension &amp; Arrhythmia"/>
    <s v="Follow-up"/>
    <n v="65615.570000000007"/>
    <n v="53804.77"/>
    <n v="11810.8"/>
    <s v="Paid"/>
    <n v="12"/>
    <n v="0.82000003962474133"/>
    <n v="0.17999996037525848"/>
  </r>
  <r>
    <n v="10730"/>
    <s v="PAT-1027"/>
    <s v="Siddharth Verma"/>
    <s v="Female"/>
    <n v="33"/>
    <s v="Noida"/>
    <s v="DOC-102"/>
    <s v="Dr. Alok Verma"/>
    <x v="0"/>
    <n v="12"/>
    <d v="2025-02-10T00:00:00"/>
    <d v="2025-02-21T00:00:00"/>
    <s v="Heart Failure Management"/>
    <s v="Completed"/>
    <n v="181014.3"/>
    <n v="144811.44"/>
    <n v="36202.86"/>
    <s v="Paid"/>
    <n v="11"/>
    <n v="0.8"/>
    <n v="0.2"/>
  </r>
  <r>
    <n v="10731"/>
    <s v="PAT-1044"/>
    <s v="Pooja Singh"/>
    <s v="Male"/>
    <n v="67"/>
    <s v="Hyderabad"/>
    <s v="DOC-108"/>
    <s v="Dr. Sanjay Gupta"/>
    <x v="1"/>
    <n v="11"/>
    <d v="2025-05-06T00:00:00"/>
    <d v="2025-05-10T00:00:00"/>
    <s v="Acute Viral Fever &amp; Infection"/>
    <s v="Follow-up"/>
    <n v="21946.93"/>
    <n v="14046.04"/>
    <n v="7900.89"/>
    <s v="Paid"/>
    <n v="4"/>
    <n v="0.64000021870940493"/>
    <n v="0.35999978129059512"/>
  </r>
  <r>
    <n v="10732"/>
    <s v="PAT-1024"/>
    <s v="Rahul Nair"/>
    <s v="Female"/>
    <n v="47"/>
    <s v="Delhi"/>
    <s v="DOC-107"/>
    <s v="Dr. Meera Nair"/>
    <x v="1"/>
    <n v="9"/>
    <d v="2025-04-13T00:00:00"/>
    <d v="2025-04-16T00:00:00"/>
    <s v="Pneumonia Management"/>
    <s v="Completed"/>
    <n v="61046.33"/>
    <n v="38459.19"/>
    <n v="22587.14"/>
    <s v="Paid"/>
    <n v="3"/>
    <n v="0.63000003440010233"/>
    <n v="0.36999996559989762"/>
  </r>
  <r>
    <n v="10733"/>
    <s v="PAT-1015"/>
    <s v="Vikram Verma"/>
    <s v="Male"/>
    <n v="43"/>
    <s v="Mumbai"/>
    <s v="DOC-108"/>
    <s v="Dr. Sanjay Gupta"/>
    <x v="1"/>
    <n v="11"/>
    <d v="2025-01-26T00:00:00"/>
    <d v="2025-01-31T00:00:00"/>
    <s v="Pneumonia Management"/>
    <s v="Completed"/>
    <n v="73010.05"/>
    <n v="47456.53"/>
    <n v="25553.52"/>
    <s v="Pending"/>
    <n v="5"/>
    <n v="0.64999996575813879"/>
    <n v="0.35000003424186121"/>
  </r>
  <r>
    <n v="10734"/>
    <s v="PAT-1026"/>
    <s v="Manish Gupta"/>
    <s v="Female"/>
    <n v="47"/>
    <s v="Ghaziabad"/>
    <s v="DOC-104"/>
    <s v="Dr. Vikramaditya Rao"/>
    <x v="3"/>
    <n v="18"/>
    <d v="2025-09-04T00:00:00"/>
    <d v="2025-09-06T00:00:00"/>
    <s v="Epilepsy Monitoring"/>
    <s v="Follow-up"/>
    <n v="91095.66"/>
    <n v="72876.53"/>
    <n v="18219.13"/>
    <s v="Paid"/>
    <n v="2"/>
    <n v="0.80000002195494269"/>
    <n v="0.19999997804505726"/>
  </r>
  <r>
    <n v="10735"/>
    <s v="PAT-1005"/>
    <s v="Rohan Verma"/>
    <s v="Female"/>
    <n v="67"/>
    <s v="Pune"/>
    <s v="DOC-101"/>
    <s v="Dr. Rajesh Khanna"/>
    <x v="0"/>
    <n v="15"/>
    <d v="2025-03-17T00:00:00"/>
    <d v="2025-03-30T00:00:00"/>
    <s v="Coronary Artery Disease"/>
    <s v="Completed"/>
    <n v="283988.53999999998"/>
    <n v="198791.98"/>
    <n v="85196.56"/>
    <s v="Paid"/>
    <n v="13"/>
    <n v="0.70000000704253784"/>
    <n v="0.29999999295746232"/>
  </r>
  <r>
    <n v="10736"/>
    <s v="PAT-1047"/>
    <s v="Aarav Nair"/>
    <s v="Female"/>
    <n v="56"/>
    <s v="Noida"/>
    <s v="DOC-102"/>
    <s v="Dr. Alok Verma"/>
    <x v="0"/>
    <n v="12"/>
    <d v="2025-04-16T00:00:00"/>
    <d v="2025-04-18T00:00:00"/>
    <s v="Hypertension &amp; Arrhythmia"/>
    <s v="Completed"/>
    <n v="64563.98"/>
    <n v="38738.39"/>
    <n v="25825.59"/>
    <s v="Paid"/>
    <n v="2"/>
    <n v="0.60000003097702459"/>
    <n v="0.39999996902297535"/>
  </r>
  <r>
    <n v="10737"/>
    <s v="PAT-1008"/>
    <s v="Priya Rao"/>
    <s v="Female"/>
    <n v="37"/>
    <s v="Ghaziabad"/>
    <s v="DOC-105"/>
    <s v="Dr. Amit Kumar"/>
    <x v="2"/>
    <n v="10"/>
    <d v="2025-09-22T00:00:00"/>
    <d v="2025-09-24T00:00:00"/>
    <s v="Ligament Tear Repair"/>
    <s v="Follow-up"/>
    <n v="90739.19"/>
    <n v="68054.39"/>
    <n v="22684.799999999999"/>
    <s v="Paid"/>
    <n v="2"/>
    <n v="0.74999997244850869"/>
    <n v="0.25000002755149126"/>
  </r>
  <r>
    <n v="10738"/>
    <s v="PAT-1014"/>
    <s v="Sneha Gupta"/>
    <s v="Male"/>
    <n v="45"/>
    <s v="Gurgaon"/>
    <s v="DOC-101"/>
    <s v="Dr. Rajesh Khanna"/>
    <x v="0"/>
    <n v="15"/>
    <d v="2025-07-04T00:00:00"/>
    <d v="2025-07-11T00:00:00"/>
    <s v="Hypertension &amp; Arrhythmia"/>
    <s v="Follow-up"/>
    <n v="38500.230000000003"/>
    <n v="26180.16"/>
    <n v="12320.07"/>
    <s v="Paid"/>
    <n v="7"/>
    <n v="0.68000009350593482"/>
    <n v="0.31999990649406507"/>
  </r>
  <r>
    <n v="10739"/>
    <s v="PAT-1011"/>
    <s v="Siddharth Nair"/>
    <s v="Female"/>
    <n v="18"/>
    <s v="Hyderabad"/>
    <s v="DOC-106"/>
    <s v="Dr. Neha Sharma"/>
    <x v="2"/>
    <n v="8"/>
    <d v="2025-09-15T00:00:00"/>
    <d v="2025-09-20T00:00:00"/>
    <s v="Ligament Tear Repair"/>
    <s v="Completed"/>
    <n v="110664.98"/>
    <n v="86318.68"/>
    <n v="24346.3"/>
    <s v="Paid"/>
    <n v="5"/>
    <n v="0.77999996024035789"/>
    <n v="0.22000003975964211"/>
  </r>
  <r>
    <n v="10740"/>
    <s v="PAT-1039"/>
    <s v="Rahul Saxena"/>
    <s v="Female"/>
    <n v="37"/>
    <s v="Faridabad"/>
    <s v="DOC-108"/>
    <s v="Dr. Sanjay Gupta"/>
    <x v="1"/>
    <n v="11"/>
    <d v="2025-11-08T00:00:00"/>
    <d v="2025-11-10T00:00:00"/>
    <s v="Acute Viral Fever &amp; Infection"/>
    <s v="Completed"/>
    <n v="21561.43"/>
    <n v="16171.07"/>
    <n v="5390.36"/>
    <s v="Pending"/>
    <n v="2"/>
    <n v="0.74999988405221729"/>
    <n v="0.25000011594778265"/>
  </r>
  <r>
    <n v="10741"/>
    <s v="PAT-1042"/>
    <s v="Ananya Sharma"/>
    <s v="Female"/>
    <n v="65"/>
    <s v="Hyderabad"/>
    <s v="DOC-103"/>
    <s v="Dr. Sunita Kapoor"/>
    <x v="3"/>
    <n v="14"/>
    <d v="2025-08-05T00:00:00"/>
    <d v="2025-08-09T00:00:00"/>
    <s v="Epilepsy Monitoring"/>
    <s v="Completed"/>
    <n v="83404.67"/>
    <n v="64221.599999999999"/>
    <n v="19183.07"/>
    <s v="Pending"/>
    <n v="4"/>
    <n v="0.77000004915791886"/>
    <n v="0.22999995084208114"/>
  </r>
  <r>
    <n v="10742"/>
    <s v="PAT-1030"/>
    <s v="Aarav Joshi"/>
    <s v="Male"/>
    <n v="68"/>
    <s v="Faridabad"/>
    <s v="DOC-108"/>
    <s v="Dr. Sanjay Gupta"/>
    <x v="1"/>
    <n v="11"/>
    <d v="2025-07-18T00:00:00"/>
    <d v="2025-07-20T00:00:00"/>
    <s v="Typhoid &amp; Severe Dehydration"/>
    <s v="Completed"/>
    <n v="34323.94"/>
    <n v="21280.84"/>
    <n v="13043.1"/>
    <s v="Pending"/>
    <n v="2"/>
    <n v="0.61999991842428337"/>
    <n v="0.38000008157571652"/>
  </r>
  <r>
    <n v="10743"/>
    <s v="PAT-1004"/>
    <s v="Neha Patel"/>
    <s v="Male"/>
    <n v="34"/>
    <s v="Ghaziabad"/>
    <s v="DOC-106"/>
    <s v="Dr. Neha Sharma"/>
    <x v="2"/>
    <n v="8"/>
    <d v="2025-04-23T00:00:00"/>
    <d v="2025-05-04T00:00:00"/>
    <s v="Cervical Spondylosis"/>
    <s v="Completed"/>
    <n v="61951.69"/>
    <n v="45224.73"/>
    <n v="16726.96"/>
    <s v="Paid"/>
    <n v="11"/>
    <n v="0.7299999402760442"/>
    <n v="0.27000005972395585"/>
  </r>
  <r>
    <n v="10744"/>
    <s v="PAT-1027"/>
    <s v="Siddharth Verma"/>
    <s v="Female"/>
    <n v="33"/>
    <s v="Noida"/>
    <s v="DOC-103"/>
    <s v="Dr. Sunita Kapoor"/>
    <x v="3"/>
    <n v="14"/>
    <d v="2025-12-11T00:00:00"/>
    <d v="2025-12-20T00:00:00"/>
    <s v="Epilepsy Monitoring"/>
    <s v="Completed"/>
    <n v="66874.66"/>
    <n v="54168.47"/>
    <n v="12706.19"/>
    <s v="Paid"/>
    <n v="9"/>
    <n v="0.80999993121460356"/>
    <n v="0.19000006878539644"/>
  </r>
  <r>
    <n v="10745"/>
    <s v="PAT-1003"/>
    <s v="Manish Mehta"/>
    <s v="Female"/>
    <n v="62"/>
    <s v="Ghaziabad"/>
    <s v="DOC-107"/>
    <s v="Dr. Meera Nair"/>
    <x v="1"/>
    <n v="9"/>
    <d v="2025-10-10T00:00:00"/>
    <d v="2025-10-14T00:00:00"/>
    <s v="Acute Viral Fever &amp; Infection"/>
    <s v="Completed"/>
    <n v="22641.43"/>
    <n v="18339.560000000001"/>
    <n v="4301.87"/>
    <s v="Pending"/>
    <n v="4"/>
    <n v="0.81000007508359684"/>
    <n v="0.18999992491640325"/>
  </r>
  <r>
    <n v="10746"/>
    <s v="PAT-1040"/>
    <s v="Pooja Mehta"/>
    <s v="Male"/>
    <n v="74"/>
    <s v="Bangalore"/>
    <s v="DOC-106"/>
    <s v="Dr. Neha Sharma"/>
    <x v="2"/>
    <n v="8"/>
    <d v="2025-11-28T00:00:00"/>
    <d v="2025-12-06T00:00:00"/>
    <s v="Ligament Tear Repair"/>
    <s v="Completed"/>
    <n v="138884.65"/>
    <n v="101385.79"/>
    <n v="37498.86"/>
    <s v="Paid"/>
    <n v="8"/>
    <n v="0.72999996759901109"/>
    <n v="0.27000003240098891"/>
  </r>
  <r>
    <n v="10747"/>
    <s v="PAT-1045"/>
    <s v="Sneha Sharma"/>
    <s v="Male"/>
    <n v="44"/>
    <s v="Hyderabad"/>
    <s v="DOC-104"/>
    <s v="Dr. Vikramaditya Rao"/>
    <x v="3"/>
    <n v="18"/>
    <d v="2025-04-18T00:00:00"/>
    <d v="2025-04-25T00:00:00"/>
    <s v="Acute Ischemic Stroke"/>
    <s v="Completed"/>
    <n v="132228.95000000001"/>
    <n v="87271.11"/>
    <n v="44957.84"/>
    <s v="Paid"/>
    <n v="7"/>
    <n v="0.66000002268792113"/>
    <n v="0.3399999773120787"/>
  </r>
  <r>
    <n v="10748"/>
    <s v="PAT-1034"/>
    <s v="Siddharth Kumar"/>
    <s v="Male"/>
    <n v="65"/>
    <s v="Ghaziabad"/>
    <s v="DOC-105"/>
    <s v="Dr. Amit Kumar"/>
    <x v="2"/>
    <n v="10"/>
    <d v="2025-08-30T00:00:00"/>
    <d v="2025-09-03T00:00:00"/>
    <s v="Knee Replacement Surgery"/>
    <s v="Completed"/>
    <n v="177462.81"/>
    <n v="150843.39000000001"/>
    <n v="26619.42"/>
    <s v="Paid"/>
    <n v="4"/>
    <n v="0.85000000845247525"/>
    <n v="0.1499999915475248"/>
  </r>
  <r>
    <n v="10749"/>
    <s v="PAT-1045"/>
    <s v="Sneha Sharma"/>
    <s v="Male"/>
    <n v="44"/>
    <s v="Hyderabad"/>
    <s v="DOC-108"/>
    <s v="Dr. Sanjay Gupta"/>
    <x v="1"/>
    <n v="11"/>
    <d v="2025-11-28T00:00:00"/>
    <d v="2025-12-06T00:00:00"/>
    <s v="Typhoid &amp; Severe Dehydration"/>
    <s v="Follow-up"/>
    <n v="21671.74"/>
    <n v="13219.76"/>
    <n v="8451.98"/>
    <s v="Paid"/>
    <n v="8"/>
    <n v="0.60999993539974173"/>
    <n v="0.39000006460025816"/>
  </r>
  <r>
    <n v="10750"/>
    <s v="PAT-1039"/>
    <s v="Rahul Saxena"/>
    <s v="Female"/>
    <n v="37"/>
    <s v="Faridabad"/>
    <s v="DOC-102"/>
    <s v="Dr. Alok Verma"/>
    <x v="0"/>
    <n v="12"/>
    <d v="2025-08-15T00:00:00"/>
    <d v="2025-08-22T00:00:00"/>
    <s v="Coronary Artery Disease"/>
    <s v="Completed"/>
    <n v="135652.71"/>
    <n v="96313.42"/>
    <n v="39339.29"/>
    <s v="Paid"/>
    <n v="7"/>
    <n v="0.70999996977576052"/>
    <n v="0.29000003022423954"/>
  </r>
  <r>
    <n v="10751"/>
    <s v="PAT-1019"/>
    <s v="Aarav Kapoor"/>
    <s v="Female"/>
    <n v="52"/>
    <s v="Hyderabad"/>
    <s v="DOC-106"/>
    <s v="Dr. Neha Sharma"/>
    <x v="2"/>
    <n v="8"/>
    <d v="2025-01-03T00:00:00"/>
    <d v="2025-01-05T00:00:00"/>
    <s v="Knee Replacement Surgery"/>
    <s v="Follow-up"/>
    <n v="264994.78000000003"/>
    <n v="193446.19"/>
    <n v="71548.59"/>
    <s v="Paid"/>
    <n v="2"/>
    <n v="0.73000000226419548"/>
    <n v="0.26999999773580441"/>
  </r>
  <r>
    <n v="10752"/>
    <s v="PAT-1009"/>
    <s v="Priya Kumar"/>
    <s v="Female"/>
    <n v="60"/>
    <s v="Faridabad"/>
    <s v="DOC-101"/>
    <s v="Dr. Rajesh Khanna"/>
    <x v="0"/>
    <n v="15"/>
    <d v="2025-08-20T00:00:00"/>
    <d v="2025-08-25T00:00:00"/>
    <s v="Coronary Artery Disease"/>
    <s v="Follow-up"/>
    <n v="272732.46999999997"/>
    <n v="166366.81"/>
    <n v="106365.66"/>
    <s v="Paid"/>
    <n v="5"/>
    <n v="0.61000001209976951"/>
    <n v="0.38999998790023066"/>
  </r>
  <r>
    <n v="10753"/>
    <s v="PAT-1016"/>
    <s v="Manish Kumar"/>
    <s v="Female"/>
    <n v="28"/>
    <s v="Hyderabad"/>
    <s v="DOC-108"/>
    <s v="Dr. Sanjay Gupta"/>
    <x v="1"/>
    <n v="11"/>
    <d v="2025-10-08T00:00:00"/>
    <d v="2025-10-17T00:00:00"/>
    <s v="Pneumonia Management"/>
    <s v="Completed"/>
    <n v="61834.95"/>
    <n v="51323.01"/>
    <n v="10511.94"/>
    <s v="Paid"/>
    <n v="9"/>
    <n v="0.83000002425812591"/>
    <n v="0.16999997574187414"/>
  </r>
  <r>
    <n v="10754"/>
    <s v="PAT-1018"/>
    <s v="Pooja Saxena"/>
    <s v="Male"/>
    <n v="23"/>
    <s v="Noida"/>
    <s v="DOC-105"/>
    <s v="Dr. Amit Kumar"/>
    <x v="2"/>
    <n v="10"/>
    <d v="2025-07-15T00:00:00"/>
    <d v="2025-07-28T00:00:00"/>
    <s v="Ligament Tear Repair"/>
    <s v="Completed"/>
    <n v="68118.080000000002"/>
    <n v="41552.03"/>
    <n v="26566.05"/>
    <s v="Paid"/>
    <n v="13"/>
    <n v="0.61000001761646827"/>
    <n v="0.38999998238353162"/>
  </r>
  <r>
    <n v="10755"/>
    <s v="PAT-1043"/>
    <s v="Kavya Kumar"/>
    <s v="Male"/>
    <n v="35"/>
    <s v="Pune"/>
    <s v="DOC-107"/>
    <s v="Dr. Meera Nair"/>
    <x v="1"/>
    <n v="9"/>
    <d v="2025-07-06T00:00:00"/>
    <d v="2025-07-09T00:00:00"/>
    <s v="Pneumonia Management"/>
    <s v="Completed"/>
    <n v="65655.759999999995"/>
    <n v="48585.26"/>
    <n v="17070.5"/>
    <s v="Paid"/>
    <n v="3"/>
    <n v="0.7399999634457054"/>
    <n v="0.26000003655429471"/>
  </r>
  <r>
    <n v="10756"/>
    <s v="PAT-1036"/>
    <s v="Rohan Joshi"/>
    <s v="Male"/>
    <n v="41"/>
    <s v="Delhi"/>
    <s v="DOC-106"/>
    <s v="Dr. Neha Sharma"/>
    <x v="2"/>
    <n v="8"/>
    <d v="2025-08-31T00:00:00"/>
    <d v="2025-09-13T00:00:00"/>
    <s v="Knee Replacement Surgery"/>
    <s v="Completed"/>
    <n v="357890.73"/>
    <n v="257681.33"/>
    <n v="100209.4"/>
    <s v="Pending"/>
    <n v="13"/>
    <n v="0.72000001229425525"/>
    <n v="0.27999998770574469"/>
  </r>
  <r>
    <n v="10757"/>
    <s v="PAT-1002"/>
    <s v="Amit Saxena"/>
    <s v="Male"/>
    <n v="56"/>
    <s v="Ghaziabad"/>
    <s v="DOC-106"/>
    <s v="Dr. Neha Sharma"/>
    <x v="2"/>
    <n v="8"/>
    <d v="2025-11-17T00:00:00"/>
    <d v="2025-11-25T00:00:00"/>
    <s v="Cervical Spondylosis"/>
    <s v="Completed"/>
    <n v="29804.880000000001"/>
    <n v="20863.419999999998"/>
    <n v="8941.4599999999991"/>
    <s v="Paid"/>
    <n v="8"/>
    <n v="0.70000013420621043"/>
    <n v="0.29999986579378946"/>
  </r>
  <r>
    <n v="10758"/>
    <s v="PAT-1030"/>
    <s v="Aarav Joshi"/>
    <s v="Male"/>
    <n v="68"/>
    <s v="Faridabad"/>
    <s v="DOC-107"/>
    <s v="Dr. Meera Nair"/>
    <x v="1"/>
    <n v="9"/>
    <d v="2025-08-12T00:00:00"/>
    <d v="2025-08-24T00:00:00"/>
    <s v="Typhoid &amp; Severe Dehydration"/>
    <s v="Completed"/>
    <n v="25477.06"/>
    <n v="15795.78"/>
    <n v="9681.2800000000007"/>
    <s v="Pending"/>
    <n v="12"/>
    <n v="0.62000010990279097"/>
    <n v="0.37999989009720903"/>
  </r>
  <r>
    <n v="10759"/>
    <s v="PAT-1029"/>
    <s v="Amit Rao"/>
    <s v="Female"/>
    <n v="59"/>
    <s v="Jaipur"/>
    <s v="DOC-104"/>
    <s v="Dr. Vikramaditya Rao"/>
    <x v="3"/>
    <n v="18"/>
    <d v="2025-02-18T00:00:00"/>
    <d v="2025-03-03T00:00:00"/>
    <s v="Acute Ischemic Stroke"/>
    <s v="Completed"/>
    <n v="264034.89"/>
    <n v="179543.73"/>
    <n v="84491.16"/>
    <s v="Pending"/>
    <n v="13"/>
    <n v="0.68000001817941558"/>
    <n v="0.31999998182058437"/>
  </r>
  <r>
    <n v="10760"/>
    <s v="PAT-1018"/>
    <s v="Pooja Saxena"/>
    <s v="Male"/>
    <n v="23"/>
    <s v="Noida"/>
    <s v="DOC-108"/>
    <s v="Dr. Sanjay Gupta"/>
    <x v="1"/>
    <n v="11"/>
    <d v="2025-04-11T00:00:00"/>
    <d v="2025-04-22T00:00:00"/>
    <s v="Pneumonia Management"/>
    <s v="Follow-up"/>
    <n v="70898.45"/>
    <n v="46792.98"/>
    <n v="24105.47"/>
    <s v="Pending"/>
    <n v="11"/>
    <n v="0.66000004231404219"/>
    <n v="0.33999995768595792"/>
  </r>
  <r>
    <n v="10761"/>
    <s v="PAT-1037"/>
    <s v="Kavya Kumar"/>
    <s v="Male"/>
    <n v="61"/>
    <s v="Mumbai"/>
    <s v="DOC-101"/>
    <s v="Dr. Rajesh Khanna"/>
    <x v="0"/>
    <n v="15"/>
    <d v="2025-02-15T00:00:00"/>
    <d v="2025-02-28T00:00:00"/>
    <s v="Coronary Artery Disease"/>
    <s v="Completed"/>
    <n v="400935.33"/>
    <n v="276645.38"/>
    <n v="124289.95"/>
    <s v="Paid"/>
    <n v="13"/>
    <n v="0.69000000573658593"/>
    <n v="0.30999999426341396"/>
  </r>
  <r>
    <n v="10762"/>
    <s v="PAT-1045"/>
    <s v="Sneha Sharma"/>
    <s v="Male"/>
    <n v="44"/>
    <s v="Hyderabad"/>
    <s v="DOC-103"/>
    <s v="Dr. Sunita Kapoor"/>
    <x v="3"/>
    <n v="14"/>
    <d v="2025-12-06T00:00:00"/>
    <d v="2025-12-20T00:00:00"/>
    <s v="Migraine &amp; Nerve Compression"/>
    <s v="Completed"/>
    <n v="40132.980000000003"/>
    <n v="30501.06"/>
    <n v="9631.92"/>
    <s v="Paid"/>
    <n v="14"/>
    <n v="0.75999988039761812"/>
    <n v="0.24000011960238185"/>
  </r>
  <r>
    <n v="10763"/>
    <s v="PAT-1034"/>
    <s v="Siddharth Kumar"/>
    <s v="Male"/>
    <n v="65"/>
    <s v="Ghaziabad"/>
    <s v="DOC-101"/>
    <s v="Dr. Rajesh Khanna"/>
    <x v="0"/>
    <n v="15"/>
    <d v="2025-03-20T00:00:00"/>
    <d v="2025-04-03T00:00:00"/>
    <s v="Hypertension &amp; Arrhythmia"/>
    <s v="Completed"/>
    <n v="56673.760000000002"/>
    <n v="35704.47"/>
    <n v="20969.29"/>
    <s v="Paid"/>
    <n v="14"/>
    <n v="0.63000002117382015"/>
    <n v="0.36999997882617985"/>
  </r>
  <r>
    <n v="10764"/>
    <s v="PAT-1040"/>
    <s v="Pooja Mehta"/>
    <s v="Male"/>
    <n v="74"/>
    <s v="Bangalore"/>
    <s v="DOC-103"/>
    <s v="Dr. Sunita Kapoor"/>
    <x v="3"/>
    <n v="14"/>
    <d v="2025-11-18T00:00:00"/>
    <d v="2025-11-29T00:00:00"/>
    <s v="Epilepsy Monitoring"/>
    <s v="Completed"/>
    <n v="41176.730000000003"/>
    <n v="29235.48"/>
    <n v="11941.25"/>
    <s v="Paid"/>
    <n v="11"/>
    <n v="0.71000004128545413"/>
    <n v="0.28999995871454581"/>
  </r>
  <r>
    <n v="10765"/>
    <s v="PAT-1034"/>
    <s v="Siddharth Kumar"/>
    <s v="Male"/>
    <n v="65"/>
    <s v="Ghaziabad"/>
    <s v="DOC-104"/>
    <s v="Dr. Vikramaditya Rao"/>
    <x v="3"/>
    <n v="18"/>
    <d v="2025-07-02T00:00:00"/>
    <d v="2025-07-07T00:00:00"/>
    <s v="Epilepsy Monitoring"/>
    <s v="Completed"/>
    <n v="66826.42"/>
    <n v="53461.14"/>
    <n v="13365.28"/>
    <s v="Paid"/>
    <n v="5"/>
    <n v="0.80000005985656575"/>
    <n v="0.19999994014343431"/>
  </r>
  <r>
    <n v="10766"/>
    <s v="PAT-1033"/>
    <s v="Vikram Joshi"/>
    <s v="Female"/>
    <n v="75"/>
    <s v="Bangalore"/>
    <s v="DOC-105"/>
    <s v="Dr. Amit Kumar"/>
    <x v="2"/>
    <n v="10"/>
    <d v="2025-09-08T00:00:00"/>
    <d v="2025-09-14T00:00:00"/>
    <s v="Cervical Spondylosis"/>
    <s v="Completed"/>
    <n v="59403.05"/>
    <n v="49304.53"/>
    <n v="10098.52"/>
    <s v="Pending"/>
    <n v="6"/>
    <n v="0.8299999747487713"/>
    <n v="0.17000002525122868"/>
  </r>
  <r>
    <n v="10767"/>
    <s v="PAT-1012"/>
    <s v="Ananya Saxena"/>
    <s v="Male"/>
    <n v="40"/>
    <s v="Delhi"/>
    <s v="DOC-105"/>
    <s v="Dr. Amit Kumar"/>
    <x v="2"/>
    <n v="10"/>
    <d v="2025-01-21T00:00:00"/>
    <d v="2025-02-04T00:00:00"/>
    <s v="Knee Replacement Surgery"/>
    <s v="Completed"/>
    <n v="365168.2"/>
    <n v="259269.42"/>
    <n v="105898.78"/>
    <s v="Paid"/>
    <n v="14"/>
    <n v="0.70999999452307183"/>
    <n v="0.29000000547692817"/>
  </r>
  <r>
    <n v="10768"/>
    <s v="PAT-1007"/>
    <s v="Ananya Kumar"/>
    <s v="Female"/>
    <n v="45"/>
    <s v="Ghaziabad"/>
    <s v="DOC-101"/>
    <s v="Dr. Rajesh Khanna"/>
    <x v="0"/>
    <n v="15"/>
    <d v="2025-07-12T00:00:00"/>
    <d v="2025-07-24T00:00:00"/>
    <s v="Coronary Artery Disease"/>
    <s v="Completed"/>
    <n v="329519.98"/>
    <n v="250435.18"/>
    <n v="79084.800000000003"/>
    <s v="Paid"/>
    <n v="12"/>
    <n v="0.75999998543335678"/>
    <n v="0.2400000145666433"/>
  </r>
  <r>
    <n v="10769"/>
    <s v="PAT-1026"/>
    <s v="Manish Gupta"/>
    <s v="Female"/>
    <n v="47"/>
    <s v="Ghaziabad"/>
    <s v="DOC-101"/>
    <s v="Dr. Rajesh Khanna"/>
    <x v="0"/>
    <n v="15"/>
    <d v="2025-03-22T00:00:00"/>
    <d v="2025-04-05T00:00:00"/>
    <s v="Coronary Artery Disease"/>
    <s v="Completed"/>
    <n v="202301.73"/>
    <n v="129473.11"/>
    <n v="72828.62"/>
    <s v="Paid"/>
    <n v="14"/>
    <n v="0.64000001384071203"/>
    <n v="0.35999998615928785"/>
  </r>
  <r>
    <n v="10770"/>
    <s v="PAT-1013"/>
    <s v="Neha Nair"/>
    <s v="Female"/>
    <n v="18"/>
    <s v="Faridabad"/>
    <s v="DOC-101"/>
    <s v="Dr. Rajesh Khanna"/>
    <x v="0"/>
    <n v="15"/>
    <d v="2025-06-29T00:00:00"/>
    <d v="2025-07-02T00:00:00"/>
    <s v="Hypertension &amp; Arrhythmia"/>
    <s v="Follow-up"/>
    <n v="28362.67"/>
    <n v="23824.639999999999"/>
    <n v="4538.03"/>
    <s v="Pending"/>
    <n v="3"/>
    <n v="0.83999990127868784"/>
    <n v="0.16000009872131221"/>
  </r>
  <r>
    <n v="10771"/>
    <s v="PAT-1007"/>
    <s v="Ananya Kumar"/>
    <s v="Female"/>
    <n v="45"/>
    <s v="Ghaziabad"/>
    <s v="DOC-101"/>
    <s v="Dr. Rajesh Khanna"/>
    <x v="0"/>
    <n v="15"/>
    <d v="2025-10-21T00:00:00"/>
    <d v="2025-10-27T00:00:00"/>
    <s v="Heart Failure Management"/>
    <s v="Completed"/>
    <n v="208922"/>
    <n v="129531.64"/>
    <n v="79390.36"/>
    <s v="Paid"/>
    <n v="6"/>
    <n v="0.62"/>
    <n v="0.38"/>
  </r>
  <r>
    <n v="10772"/>
    <s v="PAT-1026"/>
    <s v="Manish Gupta"/>
    <s v="Female"/>
    <n v="47"/>
    <s v="Ghaziabad"/>
    <s v="DOC-108"/>
    <s v="Dr. Sanjay Gupta"/>
    <x v="1"/>
    <n v="11"/>
    <d v="2025-10-09T00:00:00"/>
    <d v="2025-10-13T00:00:00"/>
    <s v="Typhoid &amp; Severe Dehydration"/>
    <s v="Completed"/>
    <n v="22251.57"/>
    <n v="18691.32"/>
    <n v="3560.25"/>
    <s v="Paid"/>
    <n v="4"/>
    <n v="0.84000005392877897"/>
    <n v="0.15999994607122103"/>
  </r>
  <r>
    <n v="10773"/>
    <s v="PAT-1005"/>
    <s v="Rohan Verma"/>
    <s v="Female"/>
    <n v="67"/>
    <s v="Pune"/>
    <s v="DOC-103"/>
    <s v="Dr. Sunita Kapoor"/>
    <x v="3"/>
    <n v="14"/>
    <d v="2025-12-08T00:00:00"/>
    <d v="2025-12-11T00:00:00"/>
    <s v="Acute Ischemic Stroke"/>
    <s v="Completed"/>
    <n v="121756.26"/>
    <n v="75488.88"/>
    <n v="46267.38"/>
    <s v="Pending"/>
    <n v="3"/>
    <n v="0.61999999014424401"/>
    <n v="0.38000000985575605"/>
  </r>
  <r>
    <n v="10774"/>
    <s v="PAT-1008"/>
    <s v="Priya Rao"/>
    <s v="Female"/>
    <n v="37"/>
    <s v="Ghaziabad"/>
    <s v="DOC-101"/>
    <s v="Dr. Rajesh Khanna"/>
    <x v="0"/>
    <n v="15"/>
    <d v="2025-09-13T00:00:00"/>
    <d v="2025-09-26T00:00:00"/>
    <s v="Hypertension &amp; Arrhythmia"/>
    <s v="Completed"/>
    <n v="43947.38"/>
    <n v="37355.269999999997"/>
    <n v="6592.11"/>
    <s v="Paid"/>
    <n v="13"/>
    <n v="0.84999993173654487"/>
    <n v="0.15000006826345508"/>
  </r>
  <r>
    <n v="10775"/>
    <s v="PAT-1016"/>
    <s v="Manish Kumar"/>
    <s v="Female"/>
    <n v="28"/>
    <s v="Hyderabad"/>
    <s v="DOC-101"/>
    <s v="Dr. Rajesh Khanna"/>
    <x v="0"/>
    <n v="15"/>
    <d v="2025-02-09T00:00:00"/>
    <d v="2025-02-18T00:00:00"/>
    <s v="Hypertension &amp; Arrhythmia"/>
    <s v="Follow-up"/>
    <n v="29616.43"/>
    <n v="18066.02"/>
    <n v="11550.41"/>
    <s v="Pending"/>
    <n v="9"/>
    <n v="0.60999992234040368"/>
    <n v="0.39000007765959638"/>
  </r>
  <r>
    <n v="10776"/>
    <s v="PAT-1036"/>
    <s v="Rohan Joshi"/>
    <s v="Male"/>
    <n v="41"/>
    <s v="Delhi"/>
    <s v="DOC-105"/>
    <s v="Dr. Amit Kumar"/>
    <x v="2"/>
    <n v="10"/>
    <d v="2025-10-30T00:00:00"/>
    <d v="2025-11-12T00:00:00"/>
    <s v="Cervical Spondylosis"/>
    <s v="Completed"/>
    <n v="35763.53"/>
    <n v="21458.12"/>
    <n v="14305.41"/>
    <s v="Paid"/>
    <n v="13"/>
    <n v="0.6000000559228913"/>
    <n v="0.3999999440771087"/>
  </r>
  <r>
    <n v="10777"/>
    <s v="PAT-1038"/>
    <s v="Rahul Kumar"/>
    <s v="Male"/>
    <n v="26"/>
    <s v="Hyderabad"/>
    <s v="DOC-105"/>
    <s v="Dr. Amit Kumar"/>
    <x v="2"/>
    <n v="10"/>
    <d v="2025-05-18T00:00:00"/>
    <d v="2025-05-28T00:00:00"/>
    <s v="Ligament Tear Repair"/>
    <s v="Completed"/>
    <n v="109822.84"/>
    <n v="73581.3"/>
    <n v="36241.54"/>
    <s v="Pending"/>
    <n v="10"/>
    <n v="0.66999997450439275"/>
    <n v="0.33000002549560731"/>
  </r>
  <r>
    <n v="10778"/>
    <s v="PAT-1002"/>
    <s v="Amit Saxena"/>
    <s v="Male"/>
    <n v="56"/>
    <s v="Ghaziabad"/>
    <s v="DOC-105"/>
    <s v="Dr. Amit Kumar"/>
    <x v="2"/>
    <n v="10"/>
    <d v="2025-04-29T00:00:00"/>
    <d v="2025-05-13T00:00:00"/>
    <s v="Knee Replacement Surgery"/>
    <s v="Follow-up"/>
    <n v="281979.31"/>
    <n v="183286.55"/>
    <n v="98692.76"/>
    <s v="Paid"/>
    <n v="14"/>
    <n v="0.64999999468046077"/>
    <n v="0.35000000531953923"/>
  </r>
  <r>
    <n v="10779"/>
    <s v="PAT-1050"/>
    <s v="Priya Mehta"/>
    <s v="Male"/>
    <n v="33"/>
    <s v="Mumbai"/>
    <s v="DOC-103"/>
    <s v="Dr. Sunita Kapoor"/>
    <x v="3"/>
    <n v="14"/>
    <d v="2025-10-23T00:00:00"/>
    <d v="2025-11-03T00:00:00"/>
    <s v="Epilepsy Monitoring"/>
    <s v="Completed"/>
    <n v="57925.53"/>
    <n v="48078.19"/>
    <n v="9847.34"/>
    <s v="Paid"/>
    <n v="11"/>
    <n v="0.83000000172635457"/>
    <n v="0.16999999827364551"/>
  </r>
  <r>
    <n v="10780"/>
    <s v="PAT-1019"/>
    <s v="Aarav Kapoor"/>
    <s v="Female"/>
    <n v="52"/>
    <s v="Hyderabad"/>
    <s v="DOC-101"/>
    <s v="Dr. Rajesh Khanna"/>
    <x v="0"/>
    <n v="15"/>
    <d v="2025-12-02T00:00:00"/>
    <d v="2025-12-16T00:00:00"/>
    <s v="Coronary Artery Disease"/>
    <s v="Completed"/>
    <n v="209996.6"/>
    <n v="178497.11"/>
    <n v="31499.49"/>
    <s v="Paid"/>
    <n v="14"/>
    <n v="0.84999999999999987"/>
    <n v="0.15"/>
  </r>
  <r>
    <n v="10781"/>
    <s v="PAT-1026"/>
    <s v="Manish Gupta"/>
    <s v="Female"/>
    <n v="47"/>
    <s v="Ghaziabad"/>
    <s v="DOC-102"/>
    <s v="Dr. Alok Verma"/>
    <x v="0"/>
    <n v="12"/>
    <d v="2025-08-20T00:00:00"/>
    <d v="2025-08-31T00:00:00"/>
    <s v="Heart Failure Management"/>
    <s v="Completed"/>
    <n v="146080.39000000001"/>
    <n v="105177.88"/>
    <n v="40902.51"/>
    <s v="Paid"/>
    <n v="11"/>
    <n v="0.71999999452356334"/>
    <n v="0.28000000547643661"/>
  </r>
  <r>
    <n v="10782"/>
    <s v="PAT-1008"/>
    <s v="Priya Rao"/>
    <s v="Female"/>
    <n v="37"/>
    <s v="Ghaziabad"/>
    <s v="DOC-107"/>
    <s v="Dr. Meera Nair"/>
    <x v="1"/>
    <n v="9"/>
    <d v="2025-02-28T00:00:00"/>
    <d v="2025-03-03T00:00:00"/>
    <s v="Typhoid &amp; Severe Dehydration"/>
    <s v="Completed"/>
    <n v="29494.71"/>
    <n v="22710.93"/>
    <n v="6783.78"/>
    <s v="Pending"/>
    <n v="3"/>
    <n v="0.77000011188447015"/>
    <n v="0.22999988811552988"/>
  </r>
  <r>
    <n v="10783"/>
    <s v="PAT-1042"/>
    <s v="Ananya Sharma"/>
    <s v="Female"/>
    <n v="65"/>
    <s v="Hyderabad"/>
    <s v="DOC-105"/>
    <s v="Dr. Amit Kumar"/>
    <x v="2"/>
    <n v="10"/>
    <d v="2025-08-03T00:00:00"/>
    <d v="2025-08-10T00:00:00"/>
    <s v="Ligament Tear Repair"/>
    <s v="Completed"/>
    <n v="73206.759999999995"/>
    <n v="44656.12"/>
    <n v="28550.639999999999"/>
    <s v="Pending"/>
    <n v="7"/>
    <n v="0.60999995082421354"/>
    <n v="0.39000004917578651"/>
  </r>
  <r>
    <n v="10784"/>
    <s v="PAT-1047"/>
    <s v="Aarav Nair"/>
    <s v="Female"/>
    <n v="56"/>
    <s v="Noida"/>
    <s v="DOC-108"/>
    <s v="Dr. Sanjay Gupta"/>
    <x v="1"/>
    <n v="11"/>
    <d v="2025-04-20T00:00:00"/>
    <d v="2025-04-30T00:00:00"/>
    <s v="Typhoid &amp; Severe Dehydration"/>
    <s v="Follow-up"/>
    <n v="15014.78"/>
    <n v="10810.64"/>
    <n v="4204.1400000000003"/>
    <s v="Paid"/>
    <n v="10"/>
    <n v="0.71999989343833204"/>
    <n v="0.28000010656166791"/>
  </r>
  <r>
    <n v="10785"/>
    <s v="PAT-1049"/>
    <s v="Pooja Verma"/>
    <s v="Male"/>
    <n v="48"/>
    <s v="Bangalore"/>
    <s v="DOC-104"/>
    <s v="Dr. Vikramaditya Rao"/>
    <x v="3"/>
    <n v="18"/>
    <d v="2025-07-18T00:00:00"/>
    <d v="2025-07-21T00:00:00"/>
    <s v="Epilepsy Monitoring"/>
    <s v="Completed"/>
    <n v="85411.37"/>
    <n v="68329.100000000006"/>
    <n v="17082.27"/>
    <s v="Paid"/>
    <n v="3"/>
    <n v="0.80000004683217241"/>
    <n v="0.19999995316782768"/>
  </r>
  <r>
    <n v="10786"/>
    <s v="PAT-1050"/>
    <s v="Priya Mehta"/>
    <s v="Male"/>
    <n v="33"/>
    <s v="Mumbai"/>
    <s v="DOC-101"/>
    <s v="Dr. Rajesh Khanna"/>
    <x v="0"/>
    <n v="15"/>
    <d v="2025-11-24T00:00:00"/>
    <d v="2025-12-08T00:00:00"/>
    <s v="Heart Failure Management"/>
    <s v="Completed"/>
    <n v="161526.29"/>
    <n v="125990.51"/>
    <n v="35535.78"/>
    <s v="Paid"/>
    <n v="14"/>
    <n v="0.78000002352558206"/>
    <n v="0.21999997647441785"/>
  </r>
  <r>
    <n v="10787"/>
    <s v="PAT-1024"/>
    <s v="Rahul Nair"/>
    <s v="Female"/>
    <n v="47"/>
    <s v="Delhi"/>
    <s v="DOC-108"/>
    <s v="Dr. Sanjay Gupta"/>
    <x v="1"/>
    <n v="11"/>
    <d v="2025-05-11T00:00:00"/>
    <d v="2025-05-13T00:00:00"/>
    <s v="Acute Viral Fever &amp; Infection"/>
    <s v="Follow-up"/>
    <n v="24416.59"/>
    <n v="17091.61"/>
    <n v="7324.98"/>
    <s v="Paid"/>
    <n v="2"/>
    <n v="0.69999987713272005"/>
    <n v="0.30000012286727995"/>
  </r>
  <r>
    <n v="10788"/>
    <s v="PAT-1032"/>
    <s v="Rahul Joshi"/>
    <s v="Female"/>
    <n v="19"/>
    <s v="Gurgaon"/>
    <s v="DOC-106"/>
    <s v="Dr. Neha Sharma"/>
    <x v="2"/>
    <n v="8"/>
    <d v="2025-07-19T00:00:00"/>
    <d v="2025-07-29T00:00:00"/>
    <s v="Cervical Spondylosis"/>
    <s v="Completed"/>
    <n v="56502.25"/>
    <n v="37856.51"/>
    <n v="18645.740000000002"/>
    <s v="Paid"/>
    <n v="10"/>
    <n v="0.67000004424602566"/>
    <n v="0.32999995575397445"/>
  </r>
  <r>
    <n v="10789"/>
    <s v="PAT-1014"/>
    <s v="Sneha Gupta"/>
    <s v="Male"/>
    <n v="45"/>
    <s v="Gurgaon"/>
    <s v="DOC-106"/>
    <s v="Dr. Neha Sharma"/>
    <x v="2"/>
    <n v="8"/>
    <d v="2025-09-20T00:00:00"/>
    <d v="2025-10-01T00:00:00"/>
    <s v="Knee Replacement Surgery"/>
    <s v="Completed"/>
    <n v="272460.32"/>
    <n v="187997.62"/>
    <n v="84462.7"/>
    <s v="Paid"/>
    <n v="11"/>
    <n v="0.68999999706379256"/>
    <n v="0.31000000293620733"/>
  </r>
  <r>
    <n v="10790"/>
    <s v="PAT-1043"/>
    <s v="Kavya Kumar"/>
    <s v="Male"/>
    <n v="35"/>
    <s v="Pune"/>
    <s v="DOC-104"/>
    <s v="Dr. Vikramaditya Rao"/>
    <x v="3"/>
    <n v="18"/>
    <d v="2025-05-26T00:00:00"/>
    <d v="2025-06-07T00:00:00"/>
    <s v="Migraine &amp; Nerve Compression"/>
    <s v="Follow-up"/>
    <n v="19038.2"/>
    <n v="13136.36"/>
    <n v="5901.84"/>
    <s v="Paid"/>
    <n v="12"/>
    <n v="0.6900001050519482"/>
    <n v="0.3099998949480518"/>
  </r>
  <r>
    <n v="10791"/>
    <s v="PAT-1025"/>
    <s v="Ananya Mehta"/>
    <s v="Female"/>
    <n v="23"/>
    <s v="Faridabad"/>
    <s v="DOC-104"/>
    <s v="Dr. Vikramaditya Rao"/>
    <x v="3"/>
    <n v="18"/>
    <d v="2025-08-08T00:00:00"/>
    <d v="2025-08-13T00:00:00"/>
    <s v="Acute Ischemic Stroke"/>
    <s v="Completed"/>
    <n v="243177.36"/>
    <n v="162928.82999999999"/>
    <n v="80248.53"/>
    <s v="Paid"/>
    <n v="5"/>
    <n v="0.66999999506533003"/>
    <n v="0.33000000493466991"/>
  </r>
  <r>
    <n v="10792"/>
    <s v="PAT-1045"/>
    <s v="Sneha Sharma"/>
    <s v="Male"/>
    <n v="44"/>
    <s v="Hyderabad"/>
    <s v="DOC-102"/>
    <s v="Dr. Alok Verma"/>
    <x v="0"/>
    <n v="12"/>
    <d v="2025-04-22T00:00:00"/>
    <d v="2025-05-04T00:00:00"/>
    <s v="Coronary Artery Disease"/>
    <s v="Completed"/>
    <n v="215699.08"/>
    <n v="144518.38"/>
    <n v="71180.7"/>
    <s v="Paid"/>
    <n v="12"/>
    <n v="0.66999998331008181"/>
    <n v="0.33000001668991819"/>
  </r>
  <r>
    <n v="10793"/>
    <s v="PAT-1018"/>
    <s v="Pooja Saxena"/>
    <s v="Male"/>
    <n v="23"/>
    <s v="Noida"/>
    <s v="DOC-105"/>
    <s v="Dr. Amit Kumar"/>
    <x v="2"/>
    <n v="10"/>
    <d v="2025-02-21T00:00:00"/>
    <d v="2025-02-26T00:00:00"/>
    <s v="Cervical Spondylosis"/>
    <s v="Completed"/>
    <n v="24792.44"/>
    <n v="17602.63"/>
    <n v="7189.81"/>
    <s v="Pending"/>
    <n v="5"/>
    <n v="0.70999990319629702"/>
    <n v="0.29000009680370309"/>
  </r>
  <r>
    <n v="10794"/>
    <s v="PAT-1010"/>
    <s v="Siddharth Rao"/>
    <s v="Male"/>
    <n v="45"/>
    <s v="Noida"/>
    <s v="DOC-108"/>
    <s v="Dr. Sanjay Gupta"/>
    <x v="1"/>
    <n v="11"/>
    <d v="2025-07-05T00:00:00"/>
    <d v="2025-07-19T00:00:00"/>
    <s v="Acute Viral Fever &amp; Infection"/>
    <s v="Completed"/>
    <n v="15854.08"/>
    <n v="10463.69"/>
    <n v="5390.39"/>
    <s v="Pending"/>
    <n v="14"/>
    <n v="0.65999982338931051"/>
    <n v="0.34000017661068949"/>
  </r>
  <r>
    <n v="10795"/>
    <s v="PAT-1029"/>
    <s v="Amit Rao"/>
    <s v="Female"/>
    <n v="59"/>
    <s v="Jaipur"/>
    <s v="DOC-105"/>
    <s v="Dr. Amit Kumar"/>
    <x v="2"/>
    <n v="10"/>
    <d v="2025-12-07T00:00:00"/>
    <d v="2025-12-16T00:00:00"/>
    <s v="Cervical Spondylosis"/>
    <s v="Completed"/>
    <n v="35877.43"/>
    <n v="24755.43"/>
    <n v="11122"/>
    <s v="Pending"/>
    <n v="9"/>
    <n v="0.69000009197983247"/>
    <n v="0.30999990802016753"/>
  </r>
  <r>
    <n v="10796"/>
    <s v="PAT-1041"/>
    <s v="Ananya Patel"/>
    <s v="Female"/>
    <n v="66"/>
    <s v="Delhi"/>
    <s v="DOC-108"/>
    <s v="Dr. Sanjay Gupta"/>
    <x v="1"/>
    <n v="11"/>
    <d v="2025-06-26T00:00:00"/>
    <d v="2025-07-07T00:00:00"/>
    <s v="Typhoid &amp; Severe Dehydration"/>
    <s v="Completed"/>
    <n v="33356.83"/>
    <n v="23016.21"/>
    <n v="10340.620000000001"/>
    <s v="Paid"/>
    <n v="11"/>
    <n v="0.6899999190570566"/>
    <n v="0.31000008094294335"/>
  </r>
  <r>
    <n v="10797"/>
    <s v="PAT-1020"/>
    <s v="Ritu Verma"/>
    <s v="Female"/>
    <n v="68"/>
    <s v="Gurgaon"/>
    <s v="DOC-104"/>
    <s v="Dr. Vikramaditya Rao"/>
    <x v="3"/>
    <n v="18"/>
    <d v="2025-05-28T00:00:00"/>
    <d v="2025-06-07T00:00:00"/>
    <s v="Acute Ischemic Stroke"/>
    <s v="Completed"/>
    <n v="133855.82"/>
    <n v="112438.89"/>
    <n v="21416.93"/>
    <s v="Pending"/>
    <n v="10"/>
    <n v="0.84000000896486982"/>
    <n v="0.15999999103513018"/>
  </r>
  <r>
    <n v="10798"/>
    <s v="PAT-1037"/>
    <s v="Kavya Kumar"/>
    <s v="Male"/>
    <n v="61"/>
    <s v="Mumbai"/>
    <s v="DOC-108"/>
    <s v="Dr. Sanjay Gupta"/>
    <x v="1"/>
    <n v="11"/>
    <d v="2025-02-02T00:00:00"/>
    <d v="2025-02-08T00:00:00"/>
    <s v="Acute Viral Fever &amp; Infection"/>
    <s v="Follow-up"/>
    <n v="18023.09"/>
    <n v="11715.01"/>
    <n v="6308.08"/>
    <s v="Pending"/>
    <n v="6"/>
    <n v="0.6500000832265721"/>
    <n v="0.34999991677342784"/>
  </r>
  <r>
    <n v="10799"/>
    <s v="PAT-1039"/>
    <s v="Rahul Saxena"/>
    <s v="Female"/>
    <n v="37"/>
    <s v="Faridabad"/>
    <s v="DOC-104"/>
    <s v="Dr. Vikramaditya Rao"/>
    <x v="3"/>
    <n v="18"/>
    <d v="2025-05-31T00:00:00"/>
    <d v="2025-06-11T00:00:00"/>
    <s v="Epilepsy Monitoring"/>
    <s v="Completed"/>
    <n v="86777.91"/>
    <n v="57273.42"/>
    <n v="29504.49"/>
    <s v="Pending"/>
    <n v="11"/>
    <n v="0.65999999308579793"/>
    <n v="0.34000000691420201"/>
  </r>
  <r>
    <n v="10800"/>
    <s v="PAT-1049"/>
    <s v="Pooja Verma"/>
    <s v="Male"/>
    <n v="48"/>
    <s v="Bangalore"/>
    <s v="DOC-102"/>
    <s v="Dr. Alok Verma"/>
    <x v="0"/>
    <n v="12"/>
    <d v="2025-03-12T00:00:00"/>
    <d v="2025-03-17T00:00:00"/>
    <s v="Heart Failure Management"/>
    <s v="Completed"/>
    <n v="103156.62"/>
    <n v="87683.13"/>
    <n v="15473.49"/>
    <s v="Paid"/>
    <n v="5"/>
    <n v="0.85000002908199213"/>
    <n v="0.14999997091800799"/>
  </r>
  <r>
    <n v="10801"/>
    <s v="PAT-1026"/>
    <s v="Manish Gupta"/>
    <s v="Female"/>
    <n v="47"/>
    <s v="Ghaziabad"/>
    <s v="DOC-104"/>
    <s v="Dr. Vikramaditya Rao"/>
    <x v="3"/>
    <n v="18"/>
    <d v="2025-03-31T00:00:00"/>
    <d v="2025-04-05T00:00:00"/>
    <s v="Migraine &amp; Nerve Compression"/>
    <s v="Completed"/>
    <n v="41946.01"/>
    <n v="35234.65"/>
    <n v="6711.36"/>
    <s v="Paid"/>
    <n v="5"/>
    <n v="0.8400000381442716"/>
    <n v="0.15999996185572835"/>
  </r>
  <r>
    <n v="10802"/>
    <s v="PAT-1023"/>
    <s v="Neha Rao"/>
    <s v="Male"/>
    <n v="21"/>
    <s v="Pune"/>
    <s v="DOC-105"/>
    <s v="Dr. Amit Kumar"/>
    <x v="2"/>
    <n v="10"/>
    <d v="2025-07-31T00:00:00"/>
    <d v="2025-08-14T00:00:00"/>
    <s v="Knee Replacement Surgery"/>
    <s v="Follow-up"/>
    <n v="213246.04"/>
    <n v="176994.21"/>
    <n v="36251.83"/>
    <s v="Paid"/>
    <n v="14"/>
    <n v="0.82999998499385963"/>
    <n v="0.17000001500614031"/>
  </r>
  <r>
    <n v="10803"/>
    <s v="PAT-1013"/>
    <s v="Neha Nair"/>
    <s v="Female"/>
    <n v="18"/>
    <s v="Faridabad"/>
    <s v="DOC-102"/>
    <s v="Dr. Alok Verma"/>
    <x v="0"/>
    <n v="12"/>
    <d v="2025-06-16T00:00:00"/>
    <d v="2025-06-30T00:00:00"/>
    <s v="Heart Failure Management"/>
    <s v="Completed"/>
    <n v="216208.19"/>
    <n v="162156.14000000001"/>
    <n v="54052.05"/>
    <s v="Pending"/>
    <n v="14"/>
    <n v="0.74999998843707083"/>
    <n v="0.25000001156292923"/>
  </r>
  <r>
    <n v="10804"/>
    <s v="PAT-1022"/>
    <s v="Kavya Gupta"/>
    <s v="Male"/>
    <n v="27"/>
    <s v="Faridabad"/>
    <s v="DOC-108"/>
    <s v="Dr. Sanjay Gupta"/>
    <x v="1"/>
    <n v="11"/>
    <d v="2025-11-25T00:00:00"/>
    <d v="2025-12-05T00:00:00"/>
    <s v="Typhoid &amp; Severe Dehydration"/>
    <s v="Completed"/>
    <n v="24196.639999999999"/>
    <n v="16453.72"/>
    <n v="7742.92"/>
    <s v="Pending"/>
    <n v="10"/>
    <n v="0.68000019837465042"/>
    <n v="0.31999980162534963"/>
  </r>
  <r>
    <n v="10805"/>
    <s v="PAT-1025"/>
    <s v="Ananya Mehta"/>
    <s v="Female"/>
    <n v="23"/>
    <s v="Faridabad"/>
    <s v="DOC-101"/>
    <s v="Dr. Rajesh Khanna"/>
    <x v="0"/>
    <n v="15"/>
    <d v="2025-03-04T00:00:00"/>
    <d v="2025-03-12T00:00:00"/>
    <s v="Heart Failure Management"/>
    <s v="Completed"/>
    <n v="219291.24"/>
    <n v="140346.39000000001"/>
    <n v="78944.850000000006"/>
    <s v="Paid"/>
    <n v="8"/>
    <n v="0.63999998358347565"/>
    <n v="0.36000001641652446"/>
  </r>
  <r>
    <n v="10806"/>
    <s v="PAT-1033"/>
    <s v="Vikram Joshi"/>
    <s v="Female"/>
    <n v="75"/>
    <s v="Bangalore"/>
    <s v="DOC-105"/>
    <s v="Dr. Amit Kumar"/>
    <x v="2"/>
    <n v="10"/>
    <d v="2025-06-09T00:00:00"/>
    <d v="2025-06-19T00:00:00"/>
    <s v="Cervical Spondylosis"/>
    <s v="Follow-up"/>
    <n v="28620.41"/>
    <n v="21751.51"/>
    <n v="6868.9"/>
    <s v="Pending"/>
    <n v="10"/>
    <n v="0.75999994409583926"/>
    <n v="0.24000005590416068"/>
  </r>
  <r>
    <n v="10807"/>
    <s v="PAT-1019"/>
    <s v="Aarav Kapoor"/>
    <s v="Female"/>
    <n v="52"/>
    <s v="Hyderabad"/>
    <s v="DOC-107"/>
    <s v="Dr. Meera Nair"/>
    <x v="1"/>
    <n v="9"/>
    <d v="2025-05-17T00:00:00"/>
    <d v="2025-05-22T00:00:00"/>
    <s v="Typhoid &amp; Severe Dehydration"/>
    <s v="Completed"/>
    <n v="30055.7"/>
    <n v="19836.759999999998"/>
    <n v="10218.94"/>
    <s v="Paid"/>
    <n v="5"/>
    <n v="0.65999993345688168"/>
    <n v="0.34000006654311826"/>
  </r>
  <r>
    <n v="10808"/>
    <s v="PAT-1049"/>
    <s v="Pooja Verma"/>
    <s v="Male"/>
    <n v="48"/>
    <s v="Bangalore"/>
    <s v="DOC-106"/>
    <s v="Dr. Neha Sharma"/>
    <x v="2"/>
    <n v="8"/>
    <d v="2025-01-11T00:00:00"/>
    <d v="2025-01-16T00:00:00"/>
    <s v="Knee Replacement Surgery"/>
    <s v="Completed"/>
    <n v="297588.28999999998"/>
    <n v="238070.63"/>
    <n v="59517.66"/>
    <s v="Paid"/>
    <n v="5"/>
    <n v="0.79999999327930549"/>
    <n v="0.20000000672069457"/>
  </r>
  <r>
    <n v="10809"/>
    <s v="PAT-1038"/>
    <s v="Rahul Kumar"/>
    <s v="Male"/>
    <n v="26"/>
    <s v="Hyderabad"/>
    <s v="DOC-104"/>
    <s v="Dr. Vikramaditya Rao"/>
    <x v="3"/>
    <n v="18"/>
    <d v="2025-07-08T00:00:00"/>
    <d v="2025-07-13T00:00:00"/>
    <s v="Migraine &amp; Nerve Compression"/>
    <s v="Completed"/>
    <n v="33344.129999999997"/>
    <n v="20673.36"/>
    <n v="12670.77"/>
    <s v="Paid"/>
    <n v="5"/>
    <n v="0.6199999820058284"/>
    <n v="0.38000001799417171"/>
  </r>
  <r>
    <n v="10810"/>
    <s v="PAT-1015"/>
    <s v="Vikram Verma"/>
    <s v="Male"/>
    <n v="43"/>
    <s v="Mumbai"/>
    <s v="DOC-104"/>
    <s v="Dr. Vikramaditya Rao"/>
    <x v="3"/>
    <n v="18"/>
    <d v="2025-11-27T00:00:00"/>
    <d v="2025-12-11T00:00:00"/>
    <s v="Epilepsy Monitoring"/>
    <s v="Completed"/>
    <n v="42910.14"/>
    <n v="26604.29"/>
    <n v="16305.85"/>
    <s v="Paid"/>
    <n v="14"/>
    <n v="0.62000007457444795"/>
    <n v="0.37999992542555211"/>
  </r>
  <r>
    <n v="10811"/>
    <s v="PAT-1013"/>
    <s v="Neha Nair"/>
    <s v="Female"/>
    <n v="18"/>
    <s v="Faridabad"/>
    <s v="DOC-108"/>
    <s v="Dr. Sanjay Gupta"/>
    <x v="1"/>
    <n v="11"/>
    <d v="2025-11-24T00:00:00"/>
    <d v="2025-12-04T00:00:00"/>
    <s v="Typhoid &amp; Severe Dehydration"/>
    <s v="Follow-up"/>
    <n v="27335.43"/>
    <n v="19681.509999999998"/>
    <n v="7653.92"/>
    <s v="Paid"/>
    <n v="10"/>
    <n v="0.72000001463302377"/>
    <n v="0.27999998536697612"/>
  </r>
  <r>
    <n v="10812"/>
    <s v="PAT-1001"/>
    <s v="Sneha Singh"/>
    <s v="Female"/>
    <n v="47"/>
    <s v="Delhi"/>
    <s v="DOC-102"/>
    <s v="Dr. Alok Verma"/>
    <x v="0"/>
    <n v="12"/>
    <d v="2025-08-26T00:00:00"/>
    <d v="2025-08-29T00:00:00"/>
    <s v="Coronary Artery Disease"/>
    <s v="Follow-up"/>
    <n v="292246.27"/>
    <n v="242564.4"/>
    <n v="49681.87"/>
    <s v="Paid"/>
    <n v="3"/>
    <n v="0.82999998597073621"/>
    <n v="0.17000001402926374"/>
  </r>
  <r>
    <n v="10813"/>
    <s v="PAT-1026"/>
    <s v="Manish Gupta"/>
    <s v="Female"/>
    <n v="47"/>
    <s v="Ghaziabad"/>
    <s v="DOC-101"/>
    <s v="Dr. Rajesh Khanna"/>
    <x v="0"/>
    <n v="15"/>
    <d v="2025-07-30T00:00:00"/>
    <d v="2025-08-07T00:00:00"/>
    <s v="Hypertension &amp; Arrhythmia"/>
    <s v="Completed"/>
    <n v="73992.210000000006"/>
    <n v="60673.61"/>
    <n v="13318.6"/>
    <s v="Paid"/>
    <n v="8"/>
    <n v="0.81999997026714022"/>
    <n v="0.1800000297328597"/>
  </r>
  <r>
    <n v="10814"/>
    <s v="PAT-1042"/>
    <s v="Ananya Sharma"/>
    <s v="Female"/>
    <n v="65"/>
    <s v="Hyderabad"/>
    <s v="DOC-102"/>
    <s v="Dr. Alok Verma"/>
    <x v="0"/>
    <n v="12"/>
    <d v="2025-01-08T00:00:00"/>
    <d v="2025-01-19T00:00:00"/>
    <s v="Coronary Artery Disease"/>
    <s v="Completed"/>
    <n v="188646.99"/>
    <n v="133939.35999999999"/>
    <n v="54707.63"/>
    <s v="Paid"/>
    <n v="11"/>
    <n v="0.70999998462737202"/>
    <n v="0.29000001537262798"/>
  </r>
  <r>
    <n v="10815"/>
    <s v="PAT-1032"/>
    <s v="Rahul Joshi"/>
    <s v="Female"/>
    <n v="19"/>
    <s v="Gurgaon"/>
    <s v="DOC-104"/>
    <s v="Dr. Vikramaditya Rao"/>
    <x v="3"/>
    <n v="18"/>
    <d v="2025-10-16T00:00:00"/>
    <d v="2025-10-28T00:00:00"/>
    <s v="Migraine &amp; Nerve Compression"/>
    <s v="Follow-up"/>
    <n v="33881.230000000003"/>
    <n v="26766.17"/>
    <n v="7115.06"/>
    <s v="Paid"/>
    <n v="12"/>
    <n v="0.78999994982472588"/>
    <n v="0.21000005017527404"/>
  </r>
  <r>
    <n v="10816"/>
    <s v="PAT-1021"/>
    <s v="Amit Gupta"/>
    <s v="Male"/>
    <n v="65"/>
    <s v="Pune"/>
    <s v="DOC-105"/>
    <s v="Dr. Amit Kumar"/>
    <x v="2"/>
    <n v="10"/>
    <d v="2025-04-29T00:00:00"/>
    <d v="2025-05-09T00:00:00"/>
    <s v="Cervical Spondylosis"/>
    <s v="Follow-up"/>
    <n v="62985.93"/>
    <n v="42830.43"/>
    <n v="20155.5"/>
    <s v="Paid"/>
    <n v="10"/>
    <n v="0.67999996189625211"/>
    <n v="0.32000003810374794"/>
  </r>
  <r>
    <n v="10817"/>
    <s v="PAT-1024"/>
    <s v="Rahul Nair"/>
    <s v="Female"/>
    <n v="47"/>
    <s v="Delhi"/>
    <s v="DOC-101"/>
    <s v="Dr. Rajesh Khanna"/>
    <x v="0"/>
    <n v="15"/>
    <d v="2025-01-17T00:00:00"/>
    <d v="2025-01-24T00:00:00"/>
    <s v="Coronary Artery Disease"/>
    <s v="Completed"/>
    <n v="229129.4"/>
    <n v="171847.05"/>
    <n v="57282.35"/>
    <s v="Paid"/>
    <n v="7"/>
    <n v="0.75"/>
    <n v="0.25"/>
  </r>
  <r>
    <n v="10818"/>
    <s v="PAT-1037"/>
    <s v="Kavya Kumar"/>
    <s v="Male"/>
    <n v="61"/>
    <s v="Mumbai"/>
    <s v="DOC-104"/>
    <s v="Dr. Vikramaditya Rao"/>
    <x v="3"/>
    <n v="18"/>
    <d v="2025-05-10T00:00:00"/>
    <d v="2025-05-13T00:00:00"/>
    <s v="Acute Ischemic Stroke"/>
    <s v="Follow-up"/>
    <n v="120968.8"/>
    <n v="94355.66"/>
    <n v="26613.14"/>
    <s v="Pending"/>
    <n v="3"/>
    <n v="0.77999996693362261"/>
    <n v="0.22000003306637744"/>
  </r>
  <r>
    <n v="10819"/>
    <s v="PAT-1005"/>
    <s v="Rohan Verma"/>
    <s v="Female"/>
    <n v="67"/>
    <s v="Pune"/>
    <s v="DOC-105"/>
    <s v="Dr. Amit Kumar"/>
    <x v="2"/>
    <n v="10"/>
    <d v="2025-07-15T00:00:00"/>
    <d v="2025-07-17T00:00:00"/>
    <s v="Ligament Tear Repair"/>
    <s v="Completed"/>
    <n v="84572.72"/>
    <n v="68503.899999999994"/>
    <n v="16068.82"/>
    <s v="Paid"/>
    <n v="2"/>
    <n v="0.80999996216273984"/>
    <n v="0.19000003783726005"/>
  </r>
  <r>
    <n v="10820"/>
    <s v="PAT-1046"/>
    <s v="Amit Mehta"/>
    <s v="Male"/>
    <n v="49"/>
    <s v="Delhi"/>
    <s v="DOC-104"/>
    <s v="Dr. Vikramaditya Rao"/>
    <x v="3"/>
    <n v="18"/>
    <d v="2025-12-06T00:00:00"/>
    <d v="2025-12-19T00:00:00"/>
    <s v="Acute Ischemic Stroke"/>
    <s v="Completed"/>
    <n v="193858.05"/>
    <n v="143454.96"/>
    <n v="50403.09"/>
    <s v="Paid"/>
    <n v="13"/>
    <n v="0.74000001547524075"/>
    <n v="0.2599999845247592"/>
  </r>
  <r>
    <n v="10821"/>
    <s v="PAT-1036"/>
    <s v="Rohan Joshi"/>
    <s v="Male"/>
    <n v="41"/>
    <s v="Delhi"/>
    <s v="DOC-108"/>
    <s v="Dr. Sanjay Gupta"/>
    <x v="1"/>
    <n v="11"/>
    <d v="2025-11-22T00:00:00"/>
    <d v="2025-11-30T00:00:00"/>
    <s v="Acute Viral Fever &amp; Infection"/>
    <s v="Follow-up"/>
    <n v="15557.67"/>
    <n v="11045.95"/>
    <n v="4511.72"/>
    <s v="Paid"/>
    <n v="8"/>
    <n v="0.71000027639100205"/>
    <n v="0.28999972360899801"/>
  </r>
  <r>
    <n v="10822"/>
    <s v="PAT-1048"/>
    <s v="Pooja Verma"/>
    <s v="Female"/>
    <n v="39"/>
    <s v="Pune"/>
    <s v="DOC-106"/>
    <s v="Dr. Neha Sharma"/>
    <x v="2"/>
    <n v="8"/>
    <d v="2025-09-14T00:00:00"/>
    <d v="2025-09-17T00:00:00"/>
    <s v="Cervical Spondylosis"/>
    <s v="Follow-up"/>
    <n v="24407.07"/>
    <n v="18061.23"/>
    <n v="6345.84"/>
    <s v="Pending"/>
    <n v="3"/>
    <n v="0.73999992625087729"/>
    <n v="0.26000007374912271"/>
  </r>
  <r>
    <n v="10823"/>
    <s v="PAT-1045"/>
    <s v="Sneha Sharma"/>
    <s v="Male"/>
    <n v="44"/>
    <s v="Hyderabad"/>
    <s v="DOC-106"/>
    <s v="Dr. Neha Sharma"/>
    <x v="2"/>
    <n v="8"/>
    <d v="2025-07-01T00:00:00"/>
    <d v="2025-07-06T00:00:00"/>
    <s v="Knee Replacement Surgery"/>
    <s v="Follow-up"/>
    <n v="278513.06"/>
    <n v="194959.14"/>
    <n v="83553.919999999998"/>
    <s v="Paid"/>
    <n v="5"/>
    <n v="0.69999999281900827"/>
    <n v="0.30000000718099179"/>
  </r>
  <r>
    <n v="10824"/>
    <s v="PAT-1022"/>
    <s v="Kavya Gupta"/>
    <s v="Male"/>
    <n v="27"/>
    <s v="Faridabad"/>
    <s v="DOC-107"/>
    <s v="Dr. Meera Nair"/>
    <x v="1"/>
    <n v="9"/>
    <d v="2025-05-08T00:00:00"/>
    <d v="2025-05-14T00:00:00"/>
    <s v="Acute Viral Fever &amp; Infection"/>
    <s v="Follow-up"/>
    <n v="14896.61"/>
    <n v="9682.7999999999993"/>
    <n v="5213.8100000000004"/>
    <s v="Paid"/>
    <n v="6"/>
    <n v="0.65000023495278447"/>
    <n v="0.34999976504721547"/>
  </r>
  <r>
    <n v="10825"/>
    <s v="PAT-1025"/>
    <s v="Ananya Mehta"/>
    <s v="Female"/>
    <n v="23"/>
    <s v="Faridabad"/>
    <s v="DOC-102"/>
    <s v="Dr. Alok Verma"/>
    <x v="0"/>
    <n v="12"/>
    <d v="2025-01-14T00:00:00"/>
    <d v="2025-01-23T00:00:00"/>
    <s v="Coronary Artery Disease"/>
    <s v="Completed"/>
    <n v="270167.75"/>
    <n v="218835.88"/>
    <n v="51331.87"/>
    <s v="Paid"/>
    <n v="9"/>
    <n v="0.81000000925351012"/>
    <n v="0.18999999074648993"/>
  </r>
  <r>
    <n v="10826"/>
    <s v="PAT-1011"/>
    <s v="Siddharth Nair"/>
    <s v="Female"/>
    <n v="18"/>
    <s v="Hyderabad"/>
    <s v="DOC-107"/>
    <s v="Dr. Meera Nair"/>
    <x v="1"/>
    <n v="9"/>
    <d v="2025-06-01T00:00:00"/>
    <d v="2025-06-14T00:00:00"/>
    <s v="Typhoid &amp; Severe Dehydration"/>
    <s v="Completed"/>
    <n v="15705.38"/>
    <n v="9894.39"/>
    <n v="5810.99"/>
    <s v="Pending"/>
    <n v="13"/>
    <n v="0.63000003820346917"/>
    <n v="0.36999996179653089"/>
  </r>
  <r>
    <n v="10827"/>
    <s v="PAT-1018"/>
    <s v="Pooja Saxena"/>
    <s v="Male"/>
    <n v="23"/>
    <s v="Noida"/>
    <s v="DOC-105"/>
    <s v="Dr. Amit Kumar"/>
    <x v="2"/>
    <n v="10"/>
    <d v="2025-01-07T00:00:00"/>
    <d v="2025-01-12T00:00:00"/>
    <s v="Knee Replacement Surgery"/>
    <s v="Completed"/>
    <n v="232859.81"/>
    <n v="188616.45"/>
    <n v="44243.360000000001"/>
    <s v="Pending"/>
    <n v="5"/>
    <n v="0.81000001674827449"/>
    <n v="0.18999998325172557"/>
  </r>
  <r>
    <n v="10828"/>
    <s v="PAT-1012"/>
    <s v="Ananya Saxena"/>
    <s v="Male"/>
    <n v="40"/>
    <s v="Delhi"/>
    <s v="DOC-104"/>
    <s v="Dr. Vikramaditya Rao"/>
    <x v="3"/>
    <n v="18"/>
    <d v="2025-02-15T00:00:00"/>
    <d v="2025-02-18T00:00:00"/>
    <s v="Migraine &amp; Nerve Compression"/>
    <s v="Completed"/>
    <n v="40506.43"/>
    <n v="24708.92"/>
    <n v="15797.51"/>
    <s v="Pending"/>
    <n v="3"/>
    <n v="0.60999994321889139"/>
    <n v="0.39000005678110861"/>
  </r>
  <r>
    <n v="10829"/>
    <s v="PAT-1045"/>
    <s v="Sneha Sharma"/>
    <s v="Male"/>
    <n v="44"/>
    <s v="Hyderabad"/>
    <s v="DOC-107"/>
    <s v="Dr. Meera Nair"/>
    <x v="1"/>
    <n v="9"/>
    <d v="2025-05-29T00:00:00"/>
    <d v="2025-06-09T00:00:00"/>
    <s v="Pneumonia Management"/>
    <s v="Follow-up"/>
    <n v="65758.92"/>
    <n v="40112.94"/>
    <n v="25645.98"/>
    <s v="Paid"/>
    <n v="11"/>
    <n v="0.60999998175152514"/>
    <n v="0.39000001824847491"/>
  </r>
  <r>
    <n v="10830"/>
    <s v="PAT-1007"/>
    <s v="Ananya Kumar"/>
    <s v="Female"/>
    <n v="45"/>
    <s v="Ghaziabad"/>
    <s v="DOC-108"/>
    <s v="Dr. Sanjay Gupta"/>
    <x v="1"/>
    <n v="11"/>
    <d v="2025-10-11T00:00:00"/>
    <d v="2025-10-15T00:00:00"/>
    <s v="Typhoid &amp; Severe Dehydration"/>
    <s v="Follow-up"/>
    <n v="31690.67"/>
    <n v="24718.720000000001"/>
    <n v="6971.95"/>
    <s v="Paid"/>
    <n v="4"/>
    <n v="0.77999991795692558"/>
    <n v="0.2200000820430745"/>
  </r>
  <r>
    <n v="10831"/>
    <s v="PAT-1019"/>
    <s v="Aarav Kapoor"/>
    <s v="Female"/>
    <n v="52"/>
    <s v="Hyderabad"/>
    <s v="DOC-106"/>
    <s v="Dr. Neha Sharma"/>
    <x v="2"/>
    <n v="8"/>
    <d v="2025-07-15T00:00:00"/>
    <d v="2025-07-27T00:00:00"/>
    <s v="Ligament Tear Repair"/>
    <s v="Completed"/>
    <n v="112818.8"/>
    <n v="80101.350000000006"/>
    <n v="32717.45"/>
    <s v="Paid"/>
    <n v="12"/>
    <n v="0.71000001772754184"/>
    <n v="0.28999998227245816"/>
  </r>
  <r>
    <n v="10832"/>
    <s v="PAT-1034"/>
    <s v="Siddharth Kumar"/>
    <s v="Male"/>
    <n v="65"/>
    <s v="Ghaziabad"/>
    <s v="DOC-101"/>
    <s v="Dr. Rajesh Khanna"/>
    <x v="0"/>
    <n v="15"/>
    <d v="2025-07-12T00:00:00"/>
    <d v="2025-07-24T00:00:00"/>
    <s v="Coronary Artery Disease"/>
    <s v="Completed"/>
    <n v="447504.4"/>
    <n v="308778.03999999998"/>
    <n v="138726.35999999999"/>
    <s v="Pending"/>
    <n v="12"/>
    <n v="0.69000000893845947"/>
    <n v="0.30999999106154036"/>
  </r>
  <r>
    <n v="10833"/>
    <s v="PAT-1037"/>
    <s v="Kavya Kumar"/>
    <s v="Male"/>
    <n v="61"/>
    <s v="Mumbai"/>
    <s v="DOC-101"/>
    <s v="Dr. Rajesh Khanna"/>
    <x v="0"/>
    <n v="15"/>
    <d v="2025-09-22T00:00:00"/>
    <d v="2025-09-26T00:00:00"/>
    <s v="Heart Failure Management"/>
    <s v="Follow-up"/>
    <n v="102484.43"/>
    <n v="79937.86"/>
    <n v="22546.57"/>
    <s v="Pending"/>
    <n v="4"/>
    <n v="0.78000004488486696"/>
    <n v="0.21999995511513312"/>
  </r>
  <r>
    <n v="10834"/>
    <s v="PAT-1023"/>
    <s v="Neha Rao"/>
    <s v="Male"/>
    <n v="21"/>
    <s v="Pune"/>
    <s v="DOC-105"/>
    <s v="Dr. Amit Kumar"/>
    <x v="2"/>
    <n v="10"/>
    <d v="2025-01-26T00:00:00"/>
    <d v="2025-02-05T00:00:00"/>
    <s v="Cervical Spondylosis"/>
    <s v="Completed"/>
    <n v="47671.63"/>
    <n v="37660.589999999997"/>
    <n v="10011.040000000001"/>
    <s v="Paid"/>
    <n v="10"/>
    <n v="0.79000004824672454"/>
    <n v="0.20999995175327552"/>
  </r>
  <r>
    <n v="10835"/>
    <s v="PAT-1038"/>
    <s v="Rahul Kumar"/>
    <s v="Male"/>
    <n v="26"/>
    <s v="Hyderabad"/>
    <s v="DOC-106"/>
    <s v="Dr. Neha Sharma"/>
    <x v="2"/>
    <n v="8"/>
    <d v="2025-06-08T00:00:00"/>
    <d v="2025-06-15T00:00:00"/>
    <s v="Cervical Spondylosis"/>
    <s v="Follow-up"/>
    <n v="36281.699999999997"/>
    <n v="28299.73"/>
    <n v="7981.97"/>
    <s v="Paid"/>
    <n v="7"/>
    <n v="0.78000011024841731"/>
    <n v="0.21999988975158277"/>
  </r>
  <r>
    <n v="10836"/>
    <s v="PAT-1006"/>
    <s v="Neha Singh"/>
    <s v="Female"/>
    <n v="68"/>
    <s v="Mumbai"/>
    <s v="DOC-105"/>
    <s v="Dr. Amit Kumar"/>
    <x v="2"/>
    <n v="10"/>
    <d v="2025-12-14T00:00:00"/>
    <d v="2025-12-18T00:00:00"/>
    <s v="Knee Replacement Surgery"/>
    <s v="Completed"/>
    <n v="228821.7"/>
    <n v="171616.28"/>
    <n v="57205.42"/>
    <s v="Paid"/>
    <n v="4"/>
    <n v="0.75000002185107439"/>
    <n v="0.24999997814892555"/>
  </r>
  <r>
    <n v="10837"/>
    <s v="PAT-1018"/>
    <s v="Pooja Saxena"/>
    <s v="Male"/>
    <n v="23"/>
    <s v="Noida"/>
    <s v="DOC-105"/>
    <s v="Dr. Amit Kumar"/>
    <x v="2"/>
    <n v="10"/>
    <d v="2025-05-14T00:00:00"/>
    <d v="2025-05-25T00:00:00"/>
    <s v="Cervical Spondylosis"/>
    <s v="Completed"/>
    <n v="54746.21"/>
    <n v="37774.879999999997"/>
    <n v="16971.330000000002"/>
    <s v="Paid"/>
    <n v="11"/>
    <n v="0.68999991049608722"/>
    <n v="0.31000008950391272"/>
  </r>
  <r>
    <n v="10838"/>
    <s v="PAT-1006"/>
    <s v="Neha Singh"/>
    <s v="Female"/>
    <n v="68"/>
    <s v="Mumbai"/>
    <s v="DOC-106"/>
    <s v="Dr. Neha Sharma"/>
    <x v="2"/>
    <n v="8"/>
    <d v="2025-03-20T00:00:00"/>
    <d v="2025-03-22T00:00:00"/>
    <s v="Cervical Spondylosis"/>
    <s v="Follow-up"/>
    <n v="42994.44"/>
    <n v="26226.61"/>
    <n v="16767.830000000002"/>
    <s v="Pending"/>
    <n v="2"/>
    <n v="0.61000003721411422"/>
    <n v="0.38999996278588583"/>
  </r>
  <r>
    <n v="10839"/>
    <s v="PAT-1034"/>
    <s v="Siddharth Kumar"/>
    <s v="Male"/>
    <n v="65"/>
    <s v="Ghaziabad"/>
    <s v="DOC-101"/>
    <s v="Dr. Rajesh Khanna"/>
    <x v="0"/>
    <n v="15"/>
    <d v="2025-11-03T00:00:00"/>
    <d v="2025-11-13T00:00:00"/>
    <s v="Heart Failure Management"/>
    <s v="Completed"/>
    <n v="179379.93"/>
    <n v="125565.95"/>
    <n v="53813.98"/>
    <s v="Pending"/>
    <n v="10"/>
    <n v="0.6999999944252403"/>
    <n v="0.3000000055747597"/>
  </r>
  <r>
    <n v="10840"/>
    <s v="PAT-1020"/>
    <s v="Ritu Verma"/>
    <s v="Female"/>
    <n v="68"/>
    <s v="Gurgaon"/>
    <s v="DOC-103"/>
    <s v="Dr. Sunita Kapoor"/>
    <x v="3"/>
    <n v="14"/>
    <d v="2025-03-06T00:00:00"/>
    <d v="2025-03-08T00:00:00"/>
    <s v="Migraine &amp; Nerve Compression"/>
    <s v="Completed"/>
    <n v="22625.439999999999"/>
    <n v="19005.37"/>
    <n v="3620.07"/>
    <s v="Pending"/>
    <n v="2"/>
    <n v="0.84000001767921417"/>
    <n v="0.15999998232078583"/>
  </r>
  <r>
    <n v="10841"/>
    <s v="PAT-1035"/>
    <s v="Rahul Verma"/>
    <s v="Male"/>
    <n v="27"/>
    <s v="Noida"/>
    <s v="DOC-108"/>
    <s v="Dr. Sanjay Gupta"/>
    <x v="1"/>
    <n v="11"/>
    <d v="2025-01-28T00:00:00"/>
    <d v="2025-02-04T00:00:00"/>
    <s v="Typhoid &amp; Severe Dehydration"/>
    <s v="Completed"/>
    <n v="15999.99"/>
    <n v="9919.99"/>
    <n v="6080"/>
    <s v="Pending"/>
    <n v="7"/>
    <n v="0.61999976249985156"/>
    <n v="0.38000023750014844"/>
  </r>
  <r>
    <n v="10842"/>
    <s v="PAT-1024"/>
    <s v="Rahul Nair"/>
    <s v="Female"/>
    <n v="47"/>
    <s v="Delhi"/>
    <s v="DOC-104"/>
    <s v="Dr. Vikramaditya Rao"/>
    <x v="3"/>
    <n v="18"/>
    <d v="2025-07-17T00:00:00"/>
    <d v="2025-07-21T00:00:00"/>
    <s v="Epilepsy Monitoring"/>
    <s v="Follow-up"/>
    <n v="55003.66"/>
    <n v="39052.6"/>
    <n v="15951.06"/>
    <s v="Paid"/>
    <n v="4"/>
    <n v="0.71000002545285157"/>
    <n v="0.28999997454714826"/>
  </r>
  <r>
    <n v="10843"/>
    <s v="PAT-1026"/>
    <s v="Manish Gupta"/>
    <s v="Female"/>
    <n v="47"/>
    <s v="Ghaziabad"/>
    <s v="DOC-107"/>
    <s v="Dr. Meera Nair"/>
    <x v="1"/>
    <n v="9"/>
    <d v="2025-08-03T00:00:00"/>
    <d v="2025-08-11T00:00:00"/>
    <s v="Typhoid &amp; Severe Dehydration"/>
    <s v="Completed"/>
    <n v="21409.16"/>
    <n v="17341.419999999998"/>
    <n v="4067.74"/>
    <s v="Paid"/>
    <n v="8"/>
    <n v="0.81000001868359139"/>
    <n v="0.18999998131640849"/>
  </r>
  <r>
    <n v="10844"/>
    <s v="PAT-1010"/>
    <s v="Siddharth Rao"/>
    <s v="Male"/>
    <n v="45"/>
    <s v="Noida"/>
    <s v="DOC-103"/>
    <s v="Dr. Sunita Kapoor"/>
    <x v="3"/>
    <n v="14"/>
    <d v="2025-01-26T00:00:00"/>
    <d v="2025-01-29T00:00:00"/>
    <s v="Epilepsy Monitoring"/>
    <s v="Follow-up"/>
    <n v="67442.600000000006"/>
    <n v="42488.84"/>
    <n v="24953.759999999998"/>
    <s v="Paid"/>
    <n v="3"/>
    <n v="0.63000002965484714"/>
    <n v="0.3699999703451527"/>
  </r>
  <r>
    <n v="10845"/>
    <s v="PAT-1038"/>
    <s v="Rahul Kumar"/>
    <s v="Male"/>
    <n v="26"/>
    <s v="Hyderabad"/>
    <s v="DOC-105"/>
    <s v="Dr. Amit Kumar"/>
    <x v="2"/>
    <n v="10"/>
    <d v="2025-01-26T00:00:00"/>
    <d v="2025-02-05T00:00:00"/>
    <s v="Cervical Spondylosis"/>
    <s v="Completed"/>
    <n v="59496.92"/>
    <n v="44027.72"/>
    <n v="15469.2"/>
    <s v="Pending"/>
    <n v="10"/>
    <n v="0.73999998655392585"/>
    <n v="0.26000001344607421"/>
  </r>
  <r>
    <n v="10846"/>
    <s v="PAT-1030"/>
    <s v="Aarav Joshi"/>
    <s v="Male"/>
    <n v="68"/>
    <s v="Faridabad"/>
    <s v="DOC-103"/>
    <s v="Dr. Sunita Kapoor"/>
    <x v="3"/>
    <n v="14"/>
    <d v="2025-03-28T00:00:00"/>
    <d v="2025-04-01T00:00:00"/>
    <s v="Acute Ischemic Stroke"/>
    <s v="Completed"/>
    <n v="303363.98"/>
    <n v="188085.67"/>
    <n v="115278.31"/>
    <s v="Pending"/>
    <n v="4"/>
    <n v="0.62000000791128873"/>
    <n v="0.37999999208871138"/>
  </r>
  <r>
    <n v="10847"/>
    <s v="PAT-1031"/>
    <s v="Kavya Kumar"/>
    <s v="Male"/>
    <n v="53"/>
    <s v="Jaipur"/>
    <s v="DOC-105"/>
    <s v="Dr. Amit Kumar"/>
    <x v="2"/>
    <n v="10"/>
    <d v="2025-11-11T00:00:00"/>
    <d v="2025-11-17T00:00:00"/>
    <s v="Ligament Tear Repair"/>
    <s v="Completed"/>
    <n v="120908.11"/>
    <n v="76172.11"/>
    <n v="44736"/>
    <s v="Paid"/>
    <n v="6"/>
    <n v="0.63000000578952065"/>
    <n v="0.36999999421047935"/>
  </r>
  <r>
    <n v="10848"/>
    <s v="PAT-1013"/>
    <s v="Neha Nair"/>
    <s v="Female"/>
    <n v="18"/>
    <s v="Faridabad"/>
    <s v="DOC-106"/>
    <s v="Dr. Neha Sharma"/>
    <x v="2"/>
    <n v="8"/>
    <d v="2025-03-19T00:00:00"/>
    <d v="2025-03-31T00:00:00"/>
    <s v="Knee Replacement Surgery"/>
    <s v="Completed"/>
    <n v="368721.09"/>
    <n v="235981.5"/>
    <n v="132739.59"/>
    <s v="Paid"/>
    <n v="12"/>
    <n v="0.64000000650898481"/>
    <n v="0.35999999349101508"/>
  </r>
  <r>
    <n v="10849"/>
    <s v="PAT-1002"/>
    <s v="Amit Saxena"/>
    <s v="Male"/>
    <n v="56"/>
    <s v="Ghaziabad"/>
    <s v="DOC-101"/>
    <s v="Dr. Rajesh Khanna"/>
    <x v="0"/>
    <n v="15"/>
    <d v="2025-10-24T00:00:00"/>
    <d v="2025-11-04T00:00:00"/>
    <s v="Coronary Artery Disease"/>
    <s v="Completed"/>
    <n v="329276.24"/>
    <n v="200858.51"/>
    <n v="128417.73"/>
    <s v="Pending"/>
    <n v="11"/>
    <n v="0.61000001093306955"/>
    <n v="0.38999998906693056"/>
  </r>
  <r>
    <n v="10850"/>
    <s v="PAT-1021"/>
    <s v="Amit Gupta"/>
    <s v="Male"/>
    <n v="65"/>
    <s v="Pune"/>
    <s v="DOC-107"/>
    <s v="Dr. Meera Nair"/>
    <x v="1"/>
    <n v="9"/>
    <d v="2025-11-02T00:00:00"/>
    <d v="2025-11-14T00:00:00"/>
    <s v="Typhoid &amp; Severe Dehydration"/>
    <s v="Completed"/>
    <n v="27627.81"/>
    <n v="16852.96"/>
    <n v="10774.85"/>
    <s v="Paid"/>
    <n v="12"/>
    <n v="0.60999985159880565"/>
    <n v="0.39000014840119429"/>
  </r>
  <r>
    <n v="10851"/>
    <s v="PAT-1025"/>
    <s v="Ananya Mehta"/>
    <s v="Female"/>
    <n v="23"/>
    <s v="Faridabad"/>
    <s v="DOC-108"/>
    <s v="Dr. Sanjay Gupta"/>
    <x v="1"/>
    <n v="11"/>
    <d v="2025-05-31T00:00:00"/>
    <d v="2025-06-02T00:00:00"/>
    <s v="Pneumonia Management"/>
    <s v="Completed"/>
    <n v="26521.61"/>
    <n v="22012.94"/>
    <n v="4508.67"/>
    <s v="Pending"/>
    <n v="2"/>
    <n v="0.83000013950887586"/>
    <n v="0.16999986049112403"/>
  </r>
  <r>
    <n v="10852"/>
    <s v="PAT-1036"/>
    <s v="Rohan Joshi"/>
    <s v="Male"/>
    <n v="41"/>
    <s v="Delhi"/>
    <s v="DOC-107"/>
    <s v="Dr. Meera Nair"/>
    <x v="1"/>
    <n v="9"/>
    <d v="2025-02-09T00:00:00"/>
    <d v="2025-02-14T00:00:00"/>
    <s v="Pneumonia Management"/>
    <s v="Completed"/>
    <n v="37609.26"/>
    <n v="25198.2"/>
    <n v="12411.06"/>
    <s v="Paid"/>
    <n v="5"/>
    <n v="0.66999988832537516"/>
    <n v="0.33000011167462479"/>
  </r>
  <r>
    <n v="10853"/>
    <s v="PAT-1009"/>
    <s v="Priya Kumar"/>
    <s v="Female"/>
    <n v="60"/>
    <s v="Faridabad"/>
    <s v="DOC-101"/>
    <s v="Dr. Rajesh Khanna"/>
    <x v="0"/>
    <n v="15"/>
    <d v="2025-03-24T00:00:00"/>
    <d v="2025-04-06T00:00:00"/>
    <s v="Hypertension &amp; Arrhythmia"/>
    <s v="Completed"/>
    <n v="55644.85"/>
    <n v="43402.98"/>
    <n v="12241.87"/>
    <s v="Paid"/>
    <n v="13"/>
    <n v="0.77999994608665502"/>
    <n v="0.22000005391334509"/>
  </r>
  <r>
    <n v="10854"/>
    <s v="PAT-1013"/>
    <s v="Neha Nair"/>
    <s v="Female"/>
    <n v="18"/>
    <s v="Faridabad"/>
    <s v="DOC-103"/>
    <s v="Dr. Sunita Kapoor"/>
    <x v="3"/>
    <n v="14"/>
    <d v="2025-06-14T00:00:00"/>
    <d v="2025-06-27T00:00:00"/>
    <s v="Migraine &amp; Nerve Compression"/>
    <s v="Completed"/>
    <n v="42493.58"/>
    <n v="31445.25"/>
    <n v="11048.33"/>
    <s v="Pending"/>
    <n v="13"/>
    <n v="0.74000001882637323"/>
    <n v="0.25999998117362666"/>
  </r>
  <r>
    <n v="10855"/>
    <s v="PAT-1013"/>
    <s v="Neha Nair"/>
    <s v="Female"/>
    <n v="18"/>
    <s v="Faridabad"/>
    <s v="DOC-104"/>
    <s v="Dr. Vikramaditya Rao"/>
    <x v="3"/>
    <n v="18"/>
    <d v="2025-10-22T00:00:00"/>
    <d v="2025-10-24T00:00:00"/>
    <s v="Acute Ischemic Stroke"/>
    <s v="Completed"/>
    <n v="182728.73"/>
    <n v="140701.12"/>
    <n v="42027.61"/>
    <s v="Paid"/>
    <n v="2"/>
    <n v="0.76999998850755424"/>
    <n v="0.23000001149244564"/>
  </r>
  <r>
    <n v="10856"/>
    <s v="PAT-1050"/>
    <s v="Priya Mehta"/>
    <s v="Male"/>
    <n v="33"/>
    <s v="Mumbai"/>
    <s v="DOC-104"/>
    <s v="Dr. Vikramaditya Rao"/>
    <x v="3"/>
    <n v="18"/>
    <d v="2025-03-23T00:00:00"/>
    <d v="2025-04-01T00:00:00"/>
    <s v="Epilepsy Monitoring"/>
    <s v="Completed"/>
    <n v="74404.55"/>
    <n v="53571.28"/>
    <n v="20833.27"/>
    <s v="Paid"/>
    <n v="9"/>
    <n v="0.72000005376015308"/>
    <n v="0.27999994623984686"/>
  </r>
  <r>
    <n v="10857"/>
    <s v="PAT-1016"/>
    <s v="Manish Kumar"/>
    <s v="Female"/>
    <n v="28"/>
    <s v="Hyderabad"/>
    <s v="DOC-104"/>
    <s v="Dr. Vikramaditya Rao"/>
    <x v="3"/>
    <n v="18"/>
    <d v="2025-03-01T00:00:00"/>
    <d v="2025-03-08T00:00:00"/>
    <s v="Epilepsy Monitoring"/>
    <s v="Completed"/>
    <n v="70431.38"/>
    <n v="45076.08"/>
    <n v="25355.3"/>
    <s v="Paid"/>
    <n v="7"/>
    <n v="0.63999995456570635"/>
    <n v="0.36000004543429359"/>
  </r>
  <r>
    <n v="10858"/>
    <s v="PAT-1028"/>
    <s v="Vikram Kumar"/>
    <s v="Male"/>
    <n v="18"/>
    <s v="Delhi"/>
    <s v="DOC-102"/>
    <s v="Dr. Alok Verma"/>
    <x v="0"/>
    <n v="12"/>
    <d v="2025-09-24T00:00:00"/>
    <d v="2025-10-06T00:00:00"/>
    <s v="Coronary Artery Disease"/>
    <s v="Follow-up"/>
    <n v="157413"/>
    <n v="114911.49"/>
    <n v="42501.51"/>
    <s v="Paid"/>
    <n v="12"/>
    <n v="0.73"/>
    <n v="0.27"/>
  </r>
  <r>
    <n v="10859"/>
    <s v="PAT-1042"/>
    <s v="Ananya Sharma"/>
    <s v="Female"/>
    <n v="65"/>
    <s v="Hyderabad"/>
    <s v="DOC-102"/>
    <s v="Dr. Alok Verma"/>
    <x v="0"/>
    <n v="12"/>
    <d v="2025-06-29T00:00:00"/>
    <d v="2025-07-07T00:00:00"/>
    <s v="Hypertension &amp; Arrhythmia"/>
    <s v="Follow-up"/>
    <n v="68431.73"/>
    <n v="48586.53"/>
    <n v="19845.2"/>
    <s v="Pending"/>
    <n v="8"/>
    <n v="0.71000002484227709"/>
    <n v="0.28999997515772291"/>
  </r>
  <r>
    <n v="10860"/>
    <s v="PAT-1009"/>
    <s v="Priya Kumar"/>
    <s v="Female"/>
    <n v="60"/>
    <s v="Faridabad"/>
    <s v="DOC-102"/>
    <s v="Dr. Alok Verma"/>
    <x v="0"/>
    <n v="12"/>
    <d v="2025-01-08T00:00:00"/>
    <d v="2025-01-18T00:00:00"/>
    <s v="Hypertension &amp; Arrhythmia"/>
    <s v="Completed"/>
    <n v="48362.2"/>
    <n v="29500.94"/>
    <n v="18861.259999999998"/>
    <s v="Paid"/>
    <n v="10"/>
    <n v="0.60999995864538836"/>
    <n v="0.39000004135461164"/>
  </r>
  <r>
    <n v="10861"/>
    <s v="PAT-1028"/>
    <s v="Vikram Kumar"/>
    <s v="Male"/>
    <n v="18"/>
    <s v="Delhi"/>
    <s v="DOC-104"/>
    <s v="Dr. Vikramaditya Rao"/>
    <x v="3"/>
    <n v="18"/>
    <d v="2025-08-18T00:00:00"/>
    <d v="2025-08-21T00:00:00"/>
    <s v="Acute Ischemic Stroke"/>
    <s v="Follow-up"/>
    <n v="158558.20000000001"/>
    <n v="110990.74"/>
    <n v="47567.46"/>
    <s v="Paid"/>
    <n v="3"/>
    <n v="0.7"/>
    <n v="0.3"/>
  </r>
  <r>
    <n v="10862"/>
    <s v="PAT-1033"/>
    <s v="Vikram Joshi"/>
    <s v="Female"/>
    <n v="75"/>
    <s v="Bangalore"/>
    <s v="DOC-106"/>
    <s v="Dr. Neha Sharma"/>
    <x v="2"/>
    <n v="8"/>
    <d v="2025-06-02T00:00:00"/>
    <d v="2025-06-12T00:00:00"/>
    <s v="Ligament Tear Repair"/>
    <s v="Follow-up"/>
    <n v="127083.73"/>
    <n v="86416.94"/>
    <n v="40666.79"/>
    <s v="Paid"/>
    <n v="10"/>
    <n v="0.6800000283277805"/>
    <n v="0.31999997167221961"/>
  </r>
  <r>
    <n v="10863"/>
    <s v="PAT-1009"/>
    <s v="Priya Kumar"/>
    <s v="Female"/>
    <n v="60"/>
    <s v="Faridabad"/>
    <s v="DOC-105"/>
    <s v="Dr. Amit Kumar"/>
    <x v="2"/>
    <n v="10"/>
    <d v="2025-05-30T00:00:00"/>
    <d v="2025-06-12T00:00:00"/>
    <s v="Cervical Spondylosis"/>
    <s v="Completed"/>
    <n v="34347.599999999999"/>
    <n v="23012.89"/>
    <n v="11334.71"/>
    <s v="Pending"/>
    <n v="13"/>
    <n v="0.66999994177176858"/>
    <n v="0.33000005822823136"/>
  </r>
  <r>
    <n v="10864"/>
    <s v="PAT-1006"/>
    <s v="Neha Singh"/>
    <s v="Female"/>
    <n v="68"/>
    <s v="Mumbai"/>
    <s v="DOC-107"/>
    <s v="Dr. Meera Nair"/>
    <x v="1"/>
    <n v="9"/>
    <d v="2025-05-26T00:00:00"/>
    <d v="2025-06-06T00:00:00"/>
    <s v="Typhoid &amp; Severe Dehydration"/>
    <s v="Completed"/>
    <n v="17405.03"/>
    <n v="13227.82"/>
    <n v="4177.21"/>
    <s v="Paid"/>
    <n v="11"/>
    <n v="0.759999839126965"/>
    <n v="0.240000160873035"/>
  </r>
  <r>
    <n v="10865"/>
    <s v="PAT-1036"/>
    <s v="Rohan Joshi"/>
    <s v="Male"/>
    <n v="41"/>
    <s v="Delhi"/>
    <s v="DOC-102"/>
    <s v="Dr. Alok Verma"/>
    <x v="0"/>
    <n v="12"/>
    <d v="2025-02-22T00:00:00"/>
    <d v="2025-03-04T00:00:00"/>
    <s v="Heart Failure Management"/>
    <s v="Completed"/>
    <n v="161586.04999999999"/>
    <n v="105030.93"/>
    <n v="56555.12"/>
    <s v="Paid"/>
    <n v="10"/>
    <n v="0.64999998452836738"/>
    <n v="0.35000001547163268"/>
  </r>
  <r>
    <n v="10866"/>
    <s v="PAT-1029"/>
    <s v="Amit Rao"/>
    <s v="Female"/>
    <n v="59"/>
    <s v="Jaipur"/>
    <s v="DOC-103"/>
    <s v="Dr. Sunita Kapoor"/>
    <x v="3"/>
    <n v="14"/>
    <d v="2025-03-12T00:00:00"/>
    <d v="2025-03-19T00:00:00"/>
    <s v="Acute Ischemic Stroke"/>
    <s v="Completed"/>
    <n v="99704.69"/>
    <n v="75775.56"/>
    <n v="23929.13"/>
    <s v="Paid"/>
    <n v="7"/>
    <n v="0.75999995586967872"/>
    <n v="0.24000004413032125"/>
  </r>
  <r>
    <n v="10867"/>
    <s v="PAT-1012"/>
    <s v="Ananya Saxena"/>
    <s v="Male"/>
    <n v="40"/>
    <s v="Delhi"/>
    <s v="DOC-108"/>
    <s v="Dr. Sanjay Gupta"/>
    <x v="1"/>
    <n v="11"/>
    <d v="2025-04-12T00:00:00"/>
    <d v="2025-04-16T00:00:00"/>
    <s v="Acute Viral Fever &amp; Infection"/>
    <s v="Completed"/>
    <n v="9561.4"/>
    <n v="7362.28"/>
    <n v="2199.12"/>
    <s v="Paid"/>
    <n v="4"/>
    <n v="0.77000020917438872"/>
    <n v="0.22999979082561131"/>
  </r>
  <r>
    <n v="10868"/>
    <s v="PAT-1048"/>
    <s v="Pooja Verma"/>
    <s v="Female"/>
    <n v="39"/>
    <s v="Pune"/>
    <s v="DOC-105"/>
    <s v="Dr. Amit Kumar"/>
    <x v="2"/>
    <n v="10"/>
    <d v="2025-01-12T00:00:00"/>
    <d v="2025-01-24T00:00:00"/>
    <s v="Cervical Spondylosis"/>
    <s v="Completed"/>
    <n v="21801.31"/>
    <n v="15260.92"/>
    <n v="6540.39"/>
    <s v="Paid"/>
    <n v="12"/>
    <n v="0.70000013760640989"/>
    <n v="0.29999986239359011"/>
  </r>
  <r>
    <n v="10869"/>
    <s v="PAT-1014"/>
    <s v="Sneha Gupta"/>
    <s v="Male"/>
    <n v="45"/>
    <s v="Gurgaon"/>
    <s v="DOC-101"/>
    <s v="Dr. Rajesh Khanna"/>
    <x v="0"/>
    <n v="15"/>
    <d v="2025-09-13T00:00:00"/>
    <d v="2025-09-20T00:00:00"/>
    <s v="Heart Failure Management"/>
    <s v="Follow-up"/>
    <n v="101409.24"/>
    <n v="60845.54"/>
    <n v="40563.699999999997"/>
    <s v="Paid"/>
    <n v="7"/>
    <n v="0.59999996055586258"/>
    <n v="0.40000003944413737"/>
  </r>
  <r>
    <n v="10870"/>
    <s v="PAT-1050"/>
    <s v="Priya Mehta"/>
    <s v="Male"/>
    <n v="33"/>
    <s v="Mumbai"/>
    <s v="DOC-105"/>
    <s v="Dr. Amit Kumar"/>
    <x v="2"/>
    <n v="10"/>
    <d v="2025-05-02T00:00:00"/>
    <d v="2025-05-10T00:00:00"/>
    <s v="Cervical Spondylosis"/>
    <s v="Completed"/>
    <n v="35613.85"/>
    <n v="22792.86"/>
    <n v="12820.99"/>
    <s v="Paid"/>
    <n v="8"/>
    <n v="0.6399998876841454"/>
    <n v="0.36000011231585466"/>
  </r>
  <r>
    <n v="10871"/>
    <s v="PAT-1047"/>
    <s v="Aarav Nair"/>
    <s v="Female"/>
    <n v="56"/>
    <s v="Noida"/>
    <s v="DOC-104"/>
    <s v="Dr. Vikramaditya Rao"/>
    <x v="3"/>
    <n v="18"/>
    <d v="2025-07-07T00:00:00"/>
    <d v="2025-07-09T00:00:00"/>
    <s v="Migraine &amp; Nerve Compression"/>
    <s v="Follow-up"/>
    <n v="43651.91"/>
    <n v="35358.050000000003"/>
    <n v="8293.86"/>
    <s v="Paid"/>
    <n v="2"/>
    <n v="0.8100000664346646"/>
    <n v="0.1899999335653354"/>
  </r>
  <r>
    <n v="10872"/>
    <s v="PAT-1019"/>
    <s v="Aarav Kapoor"/>
    <s v="Female"/>
    <n v="52"/>
    <s v="Hyderabad"/>
    <s v="DOC-108"/>
    <s v="Dr. Sanjay Gupta"/>
    <x v="1"/>
    <n v="11"/>
    <d v="2025-11-25T00:00:00"/>
    <d v="2025-12-06T00:00:00"/>
    <s v="Pneumonia Management"/>
    <s v="Completed"/>
    <n v="26542.39"/>
    <n v="16721.71"/>
    <n v="9820.68"/>
    <s v="Paid"/>
    <n v="11"/>
    <n v="0.63000016200500408"/>
    <n v="0.36999983799499597"/>
  </r>
  <r>
    <n v="10873"/>
    <s v="PAT-1009"/>
    <s v="Priya Kumar"/>
    <s v="Female"/>
    <n v="60"/>
    <s v="Faridabad"/>
    <s v="DOC-103"/>
    <s v="Dr. Sunita Kapoor"/>
    <x v="3"/>
    <n v="14"/>
    <d v="2025-11-19T00:00:00"/>
    <d v="2025-11-27T00:00:00"/>
    <s v="Epilepsy Monitoring"/>
    <s v="Completed"/>
    <n v="74577.83"/>
    <n v="46238.25"/>
    <n v="28339.58"/>
    <s v="Paid"/>
    <n v="8"/>
    <n v="0.61999993831947109"/>
    <n v="0.38000006168052891"/>
  </r>
  <r>
    <n v="10874"/>
    <s v="PAT-1050"/>
    <s v="Priya Mehta"/>
    <s v="Male"/>
    <n v="33"/>
    <s v="Mumbai"/>
    <s v="DOC-102"/>
    <s v="Dr. Alok Verma"/>
    <x v="0"/>
    <n v="12"/>
    <d v="2025-12-11T00:00:00"/>
    <d v="2025-12-20T00:00:00"/>
    <s v="Heart Failure Management"/>
    <s v="Completed"/>
    <n v="188418.81"/>
    <n v="122472.23"/>
    <n v="65946.58"/>
    <s v="Paid"/>
    <n v="9"/>
    <n v="0.65000001857564005"/>
    <n v="0.34999998142435995"/>
  </r>
  <r>
    <n v="10875"/>
    <s v="PAT-1024"/>
    <s v="Rahul Nair"/>
    <s v="Female"/>
    <n v="47"/>
    <s v="Delhi"/>
    <s v="DOC-102"/>
    <s v="Dr. Alok Verma"/>
    <x v="0"/>
    <n v="12"/>
    <d v="2025-03-07T00:00:00"/>
    <d v="2025-03-18T00:00:00"/>
    <s v="Heart Failure Management"/>
    <s v="Follow-up"/>
    <n v="183002.99"/>
    <n v="128102.09"/>
    <n v="54900.9"/>
    <s v="Paid"/>
    <n v="11"/>
    <n v="0.69999998360682525"/>
    <n v="0.30000001639317481"/>
  </r>
  <r>
    <n v="10876"/>
    <s v="PAT-1003"/>
    <s v="Manish Mehta"/>
    <s v="Female"/>
    <n v="62"/>
    <s v="Ghaziabad"/>
    <s v="DOC-104"/>
    <s v="Dr. Vikramaditya Rao"/>
    <x v="3"/>
    <n v="18"/>
    <d v="2025-05-24T00:00:00"/>
    <d v="2025-06-02T00:00:00"/>
    <s v="Migraine &amp; Nerve Compression"/>
    <s v="Completed"/>
    <n v="17635.259999999998"/>
    <n v="11991.98"/>
    <n v="5643.28"/>
    <s v="Pending"/>
    <n v="9"/>
    <n v="0.68000018145465391"/>
    <n v="0.31999981854534609"/>
  </r>
  <r>
    <n v="10877"/>
    <s v="PAT-1006"/>
    <s v="Neha Singh"/>
    <s v="Female"/>
    <n v="68"/>
    <s v="Mumbai"/>
    <s v="DOC-108"/>
    <s v="Dr. Sanjay Gupta"/>
    <x v="1"/>
    <n v="11"/>
    <d v="2025-04-30T00:00:00"/>
    <d v="2025-05-11T00:00:00"/>
    <s v="Typhoid &amp; Severe Dehydration"/>
    <s v="Completed"/>
    <n v="28606.04"/>
    <n v="21454.53"/>
    <n v="7151.51"/>
    <s v="Paid"/>
    <n v="11"/>
    <n v="0.74999999999999989"/>
    <n v="0.25"/>
  </r>
  <r>
    <n v="10878"/>
    <s v="PAT-1013"/>
    <s v="Neha Nair"/>
    <s v="Female"/>
    <n v="18"/>
    <s v="Faridabad"/>
    <s v="DOC-107"/>
    <s v="Dr. Meera Nair"/>
    <x v="1"/>
    <n v="9"/>
    <d v="2025-10-04T00:00:00"/>
    <d v="2025-10-09T00:00:00"/>
    <s v="Typhoid &amp; Severe Dehydration"/>
    <s v="Completed"/>
    <n v="19869.990000000002"/>
    <n v="13114.19"/>
    <n v="6755.8"/>
    <s v="Pending"/>
    <n v="5"/>
    <n v="0.65999982888768438"/>
    <n v="0.34000017111231556"/>
  </r>
  <r>
    <n v="10879"/>
    <s v="PAT-1036"/>
    <s v="Rohan Joshi"/>
    <s v="Male"/>
    <n v="41"/>
    <s v="Delhi"/>
    <s v="DOC-105"/>
    <s v="Dr. Amit Kumar"/>
    <x v="2"/>
    <n v="10"/>
    <d v="2025-03-23T00:00:00"/>
    <d v="2025-03-31T00:00:00"/>
    <s v="Cervical Spondylosis"/>
    <s v="Completed"/>
    <n v="62272.56"/>
    <n v="46704.42"/>
    <n v="15568.14"/>
    <s v="Pending"/>
    <n v="8"/>
    <n v="0.75"/>
    <n v="0.25"/>
  </r>
  <r>
    <n v="10880"/>
    <s v="PAT-1011"/>
    <s v="Siddharth Nair"/>
    <s v="Female"/>
    <n v="18"/>
    <s v="Hyderabad"/>
    <s v="DOC-102"/>
    <s v="Dr. Alok Verma"/>
    <x v="0"/>
    <n v="12"/>
    <d v="2025-08-20T00:00:00"/>
    <d v="2025-08-27T00:00:00"/>
    <s v="Heart Failure Management"/>
    <s v="Completed"/>
    <n v="97847.21"/>
    <n v="73385.41"/>
    <n v="24461.8"/>
    <s v="Paid"/>
    <n v="7"/>
    <n v="0.75000002555003864"/>
    <n v="0.2499999744499613"/>
  </r>
  <r>
    <n v="10881"/>
    <s v="PAT-1017"/>
    <s v="Ritu Saxena"/>
    <s v="Female"/>
    <n v="73"/>
    <s v="Gurgaon"/>
    <s v="DOC-103"/>
    <s v="Dr. Sunita Kapoor"/>
    <x v="3"/>
    <n v="14"/>
    <d v="2025-09-29T00:00:00"/>
    <d v="2025-10-08T00:00:00"/>
    <s v="Migraine &amp; Nerve Compression"/>
    <s v="Completed"/>
    <n v="19000.47"/>
    <n v="15200.38"/>
    <n v="3800.09"/>
    <s v="Paid"/>
    <n v="9"/>
    <n v="0.80000021052110803"/>
    <n v="0.19999978947889183"/>
  </r>
  <r>
    <n v="10882"/>
    <s v="PAT-1039"/>
    <s v="Rahul Saxena"/>
    <s v="Female"/>
    <n v="37"/>
    <s v="Faridabad"/>
    <s v="DOC-103"/>
    <s v="Dr. Sunita Kapoor"/>
    <x v="3"/>
    <n v="14"/>
    <d v="2025-06-24T00:00:00"/>
    <d v="2025-06-29T00:00:00"/>
    <s v="Epilepsy Monitoring"/>
    <s v="Completed"/>
    <n v="38332.83"/>
    <n v="25299.67"/>
    <n v="13033.16"/>
    <s v="Pending"/>
    <n v="5"/>
    <n v="0.6600000573920578"/>
    <n v="0.33999994260794203"/>
  </r>
  <r>
    <n v="10883"/>
    <s v="PAT-1049"/>
    <s v="Pooja Verma"/>
    <s v="Male"/>
    <n v="48"/>
    <s v="Bangalore"/>
    <s v="DOC-103"/>
    <s v="Dr. Sunita Kapoor"/>
    <x v="3"/>
    <n v="14"/>
    <d v="2025-05-06T00:00:00"/>
    <d v="2025-05-14T00:00:00"/>
    <s v="Acute Ischemic Stroke"/>
    <s v="Follow-up"/>
    <n v="231153.61"/>
    <n v="177988.28"/>
    <n v="53165.33"/>
    <s v="Paid"/>
    <n v="8"/>
    <n v="0.7700000012978383"/>
    <n v="0.22999999870216176"/>
  </r>
  <r>
    <n v="10884"/>
    <s v="PAT-1013"/>
    <s v="Neha Nair"/>
    <s v="Female"/>
    <n v="18"/>
    <s v="Faridabad"/>
    <s v="DOC-104"/>
    <s v="Dr. Vikramaditya Rao"/>
    <x v="3"/>
    <n v="18"/>
    <d v="2025-05-24T00:00:00"/>
    <d v="2025-05-31T00:00:00"/>
    <s v="Acute Ischemic Stroke"/>
    <s v="Completed"/>
    <n v="217801.95"/>
    <n v="139393.25"/>
    <n v="78408.7"/>
    <s v="Paid"/>
    <n v="7"/>
    <n v="0.64000000918265421"/>
    <n v="0.35999999081734574"/>
  </r>
  <r>
    <n v="10885"/>
    <s v="PAT-1002"/>
    <s v="Amit Saxena"/>
    <s v="Male"/>
    <n v="56"/>
    <s v="Ghaziabad"/>
    <s v="DOC-102"/>
    <s v="Dr. Alok Verma"/>
    <x v="0"/>
    <n v="12"/>
    <d v="2025-07-12T00:00:00"/>
    <d v="2025-07-16T00:00:00"/>
    <s v="Heart Failure Management"/>
    <s v="Follow-up"/>
    <n v="172798.4"/>
    <n v="107135.01"/>
    <n v="65663.39"/>
    <s v="Paid"/>
    <n v="4"/>
    <n v="0.62000001157418128"/>
    <n v="0.37999998842581878"/>
  </r>
  <r>
    <n v="10886"/>
    <s v="PAT-1002"/>
    <s v="Amit Saxena"/>
    <s v="Male"/>
    <n v="56"/>
    <s v="Ghaziabad"/>
    <s v="DOC-102"/>
    <s v="Dr. Alok Verma"/>
    <x v="0"/>
    <n v="12"/>
    <d v="2025-08-29T00:00:00"/>
    <d v="2025-09-11T00:00:00"/>
    <s v="Hypertension &amp; Arrhythmia"/>
    <s v="Completed"/>
    <n v="60361.22"/>
    <n v="36820.339999999997"/>
    <n v="23540.880000000001"/>
    <s v="Paid"/>
    <n v="13"/>
    <n v="0.60999993041890133"/>
    <n v="0.39000006958109862"/>
  </r>
  <r>
    <n v="10887"/>
    <s v="PAT-1033"/>
    <s v="Vikram Joshi"/>
    <s v="Female"/>
    <n v="75"/>
    <s v="Bangalore"/>
    <s v="DOC-101"/>
    <s v="Dr. Rajesh Khanna"/>
    <x v="0"/>
    <n v="15"/>
    <d v="2025-09-21T00:00:00"/>
    <d v="2025-09-23T00:00:00"/>
    <s v="Coronary Artery Disease"/>
    <s v="Completed"/>
    <n v="136985.99"/>
    <n v="94520.33"/>
    <n v="42465.66"/>
    <s v="Paid"/>
    <n v="2"/>
    <n v="0.68999997736994867"/>
    <n v="0.3100000226300515"/>
  </r>
  <r>
    <n v="10888"/>
    <s v="PAT-1028"/>
    <s v="Vikram Kumar"/>
    <s v="Male"/>
    <n v="18"/>
    <s v="Delhi"/>
    <s v="DOC-108"/>
    <s v="Dr. Sanjay Gupta"/>
    <x v="1"/>
    <n v="11"/>
    <d v="2025-06-29T00:00:00"/>
    <d v="2025-07-04T00:00:00"/>
    <s v="Pneumonia Management"/>
    <s v="Completed"/>
    <n v="41065.83"/>
    <n v="32031.35"/>
    <n v="9034.48"/>
    <s v="Paid"/>
    <n v="5"/>
    <n v="0.78000006331297811"/>
    <n v="0.21999993668702178"/>
  </r>
  <r>
    <n v="10889"/>
    <s v="PAT-1031"/>
    <s v="Kavya Kumar"/>
    <s v="Male"/>
    <n v="53"/>
    <s v="Jaipur"/>
    <s v="DOC-108"/>
    <s v="Dr. Sanjay Gupta"/>
    <x v="1"/>
    <n v="11"/>
    <d v="2025-06-10T00:00:00"/>
    <d v="2025-06-24T00:00:00"/>
    <s v="Acute Viral Fever &amp; Infection"/>
    <s v="Completed"/>
    <n v="11029.45"/>
    <n v="8933.85"/>
    <n v="2095.6"/>
    <s v="Paid"/>
    <n v="14"/>
    <n v="0.80999959200141436"/>
    <n v="0.19000040799858559"/>
  </r>
  <r>
    <n v="10890"/>
    <s v="PAT-1048"/>
    <s v="Pooja Verma"/>
    <s v="Female"/>
    <n v="39"/>
    <s v="Pune"/>
    <s v="DOC-107"/>
    <s v="Dr. Meera Nair"/>
    <x v="1"/>
    <n v="9"/>
    <d v="2025-01-07T00:00:00"/>
    <d v="2025-01-13T00:00:00"/>
    <s v="Acute Viral Fever &amp; Infection"/>
    <s v="Completed"/>
    <n v="22639.06"/>
    <n v="14715.39"/>
    <n v="7923.67"/>
    <s v="Paid"/>
    <n v="6"/>
    <n v="0.65000004417144519"/>
    <n v="0.3499999558285547"/>
  </r>
  <r>
    <n v="10891"/>
    <s v="PAT-1048"/>
    <s v="Pooja Verma"/>
    <s v="Female"/>
    <n v="39"/>
    <s v="Pune"/>
    <s v="DOC-107"/>
    <s v="Dr. Meera Nair"/>
    <x v="1"/>
    <n v="9"/>
    <d v="2025-09-12T00:00:00"/>
    <d v="2025-09-15T00:00:00"/>
    <s v="Typhoid &amp; Severe Dehydration"/>
    <s v="Completed"/>
    <n v="20932.240000000002"/>
    <n v="12977.99"/>
    <n v="7954.25"/>
    <s v="Paid"/>
    <n v="3"/>
    <n v="0.62000005732783492"/>
    <n v="0.37999994267216503"/>
  </r>
  <r>
    <n v="10892"/>
    <s v="PAT-1012"/>
    <s v="Ananya Saxena"/>
    <s v="Male"/>
    <n v="40"/>
    <s v="Delhi"/>
    <s v="DOC-104"/>
    <s v="Dr. Vikramaditya Rao"/>
    <x v="3"/>
    <n v="18"/>
    <d v="2025-08-08T00:00:00"/>
    <d v="2025-08-12T00:00:00"/>
    <s v="Epilepsy Monitoring"/>
    <s v="Completed"/>
    <n v="87927.82"/>
    <n v="66825.14"/>
    <n v="21102.68"/>
    <s v="Paid"/>
    <n v="4"/>
    <n v="0.75999996360651267"/>
    <n v="0.24000003639348727"/>
  </r>
  <r>
    <n v="10893"/>
    <s v="PAT-1012"/>
    <s v="Ananya Saxena"/>
    <s v="Male"/>
    <n v="40"/>
    <s v="Delhi"/>
    <s v="DOC-106"/>
    <s v="Dr. Neha Sharma"/>
    <x v="2"/>
    <n v="8"/>
    <d v="2025-03-22T00:00:00"/>
    <d v="2025-04-04T00:00:00"/>
    <s v="Knee Replacement Surgery"/>
    <s v="Follow-up"/>
    <n v="172765.18"/>
    <n v="105386.76"/>
    <n v="67378.42"/>
    <s v="Paid"/>
    <n v="13"/>
    <n v="0.61000000115764064"/>
    <n v="0.38999999884235931"/>
  </r>
  <r>
    <n v="10894"/>
    <s v="PAT-1030"/>
    <s v="Aarav Joshi"/>
    <s v="Male"/>
    <n v="68"/>
    <s v="Faridabad"/>
    <s v="DOC-105"/>
    <s v="Dr. Amit Kumar"/>
    <x v="2"/>
    <n v="10"/>
    <d v="2025-12-03T00:00:00"/>
    <d v="2025-12-12T00:00:00"/>
    <s v="Ligament Tear Repair"/>
    <s v="Completed"/>
    <n v="85284.53"/>
    <n v="57993.48"/>
    <n v="27291.05"/>
    <s v="Pending"/>
    <n v="9"/>
    <n v="0.6799999953098177"/>
    <n v="0.32000000469018236"/>
  </r>
  <r>
    <n v="10895"/>
    <s v="PAT-1025"/>
    <s v="Ananya Mehta"/>
    <s v="Female"/>
    <n v="23"/>
    <s v="Faridabad"/>
    <s v="DOC-102"/>
    <s v="Dr. Alok Verma"/>
    <x v="0"/>
    <n v="12"/>
    <d v="2025-08-09T00:00:00"/>
    <d v="2025-08-18T00:00:00"/>
    <s v="Heart Failure Management"/>
    <s v="Completed"/>
    <n v="147583.65"/>
    <n v="116591.08"/>
    <n v="30992.57"/>
    <s v="Paid"/>
    <n v="9"/>
    <n v="0.78999997628463592"/>
    <n v="0.21000002371536414"/>
  </r>
  <r>
    <n v="10896"/>
    <s v="PAT-1004"/>
    <s v="Neha Patel"/>
    <s v="Male"/>
    <n v="34"/>
    <s v="Ghaziabad"/>
    <s v="DOC-106"/>
    <s v="Dr. Neha Sharma"/>
    <x v="2"/>
    <n v="8"/>
    <d v="2025-07-30T00:00:00"/>
    <d v="2025-08-13T00:00:00"/>
    <s v="Knee Replacement Surgery"/>
    <s v="Follow-up"/>
    <n v="376048.03"/>
    <n v="312119.86"/>
    <n v="63928.17"/>
    <s v="Paid"/>
    <n v="14"/>
    <n v="0.82999998696974953"/>
    <n v="0.17000001303025039"/>
  </r>
  <r>
    <n v="10897"/>
    <s v="PAT-1031"/>
    <s v="Kavya Kumar"/>
    <s v="Male"/>
    <n v="53"/>
    <s v="Jaipur"/>
    <s v="DOC-106"/>
    <s v="Dr. Neha Sharma"/>
    <x v="2"/>
    <n v="8"/>
    <d v="2025-04-24T00:00:00"/>
    <d v="2025-05-08T00:00:00"/>
    <s v="Knee Replacement Surgery"/>
    <s v="Follow-up"/>
    <n v="196312.12"/>
    <n v="127602.88"/>
    <n v="68709.240000000005"/>
    <s v="Paid"/>
    <n v="14"/>
    <n v="0.65000001018785802"/>
    <n v="0.34999998981214203"/>
  </r>
  <r>
    <n v="10898"/>
    <s v="PAT-1028"/>
    <s v="Vikram Kumar"/>
    <s v="Male"/>
    <n v="18"/>
    <s v="Delhi"/>
    <s v="DOC-104"/>
    <s v="Dr. Vikramaditya Rao"/>
    <x v="3"/>
    <n v="18"/>
    <d v="2025-01-18T00:00:00"/>
    <d v="2025-01-27T00:00:00"/>
    <s v="Acute Ischemic Stroke"/>
    <s v="Completed"/>
    <n v="131186.47"/>
    <n v="110196.63"/>
    <n v="20989.84"/>
    <s v="Paid"/>
    <n v="9"/>
    <n v="0.83999996341086092"/>
    <n v="0.16000003658913911"/>
  </r>
  <r>
    <n v="10899"/>
    <s v="PAT-1001"/>
    <s v="Sneha Singh"/>
    <s v="Female"/>
    <n v="47"/>
    <s v="Delhi"/>
    <s v="DOC-103"/>
    <s v="Dr. Sunita Kapoor"/>
    <x v="3"/>
    <n v="14"/>
    <d v="2025-02-26T00:00:00"/>
    <d v="2025-03-06T00:00:00"/>
    <s v="Epilepsy Monitoring"/>
    <s v="Follow-up"/>
    <n v="84731.83"/>
    <n v="62701.55"/>
    <n v="22030.28"/>
    <s v="Paid"/>
    <n v="8"/>
    <n v="0.73999995043185074"/>
    <n v="0.26000004956814926"/>
  </r>
  <r>
    <n v="10900"/>
    <s v="PAT-1021"/>
    <s v="Amit Gupta"/>
    <s v="Male"/>
    <n v="65"/>
    <s v="Pune"/>
    <s v="DOC-102"/>
    <s v="Dr. Alok Verma"/>
    <x v="0"/>
    <n v="12"/>
    <d v="2025-10-01T00:00:00"/>
    <d v="2025-10-08T00:00:00"/>
    <s v="Coronary Artery Disease"/>
    <s v="Completed"/>
    <n v="155606.26999999999"/>
    <n v="110480.45"/>
    <n v="45125.82"/>
    <s v="Paid"/>
    <n v="7"/>
    <n v="0.7099999890749904"/>
    <n v="0.29000001092500965"/>
  </r>
  <r>
    <n v="10901"/>
    <s v="PAT-1037"/>
    <s v="Kavya Kumar"/>
    <s v="Male"/>
    <n v="61"/>
    <s v="Mumbai"/>
    <s v="DOC-105"/>
    <s v="Dr. Amit Kumar"/>
    <x v="2"/>
    <n v="10"/>
    <d v="2025-08-15T00:00:00"/>
    <d v="2025-08-17T00:00:00"/>
    <s v="Knee Replacement Surgery"/>
    <s v="Completed"/>
    <n v="333978.12"/>
    <n v="250483.59"/>
    <n v="83494.53"/>
    <s v="Paid"/>
    <n v="2"/>
    <n v="0.75"/>
    <n v="0.25"/>
  </r>
  <r>
    <n v="10902"/>
    <s v="PAT-1018"/>
    <s v="Pooja Saxena"/>
    <s v="Male"/>
    <n v="23"/>
    <s v="Noida"/>
    <s v="DOC-103"/>
    <s v="Dr. Sunita Kapoor"/>
    <x v="3"/>
    <n v="14"/>
    <d v="2025-10-19T00:00:00"/>
    <d v="2025-10-28T00:00:00"/>
    <s v="Migraine &amp; Nerve Compression"/>
    <s v="Completed"/>
    <n v="29152.799999999999"/>
    <n v="19823.900000000001"/>
    <n v="9328.9"/>
    <s v="Paid"/>
    <n v="9"/>
    <n v="0.67999986279191027"/>
    <n v="0.32000013720808979"/>
  </r>
  <r>
    <n v="10903"/>
    <s v="PAT-1015"/>
    <s v="Vikram Verma"/>
    <s v="Male"/>
    <n v="43"/>
    <s v="Mumbai"/>
    <s v="DOC-106"/>
    <s v="Dr. Neha Sharma"/>
    <x v="2"/>
    <n v="8"/>
    <d v="2025-07-30T00:00:00"/>
    <d v="2025-08-13T00:00:00"/>
    <s v="Knee Replacement Surgery"/>
    <s v="Completed"/>
    <n v="298478.05"/>
    <n v="250721.56"/>
    <n v="47756.49"/>
    <s v="Pending"/>
    <n v="14"/>
    <n v="0.83999999329933983"/>
    <n v="0.16000000670066022"/>
  </r>
  <r>
    <n v="10904"/>
    <s v="PAT-1002"/>
    <s v="Amit Saxena"/>
    <s v="Male"/>
    <n v="56"/>
    <s v="Ghaziabad"/>
    <s v="DOC-104"/>
    <s v="Dr. Vikramaditya Rao"/>
    <x v="3"/>
    <n v="18"/>
    <d v="2025-03-06T00:00:00"/>
    <d v="2025-03-16T00:00:00"/>
    <s v="Migraine &amp; Nerve Compression"/>
    <s v="Completed"/>
    <n v="23304.17"/>
    <n v="17711.169999999998"/>
    <n v="5593"/>
    <s v="Paid"/>
    <n v="10"/>
    <n v="0.76000003432862018"/>
    <n v="0.23999996567137985"/>
  </r>
  <r>
    <n v="10905"/>
    <s v="PAT-1050"/>
    <s v="Priya Mehta"/>
    <s v="Male"/>
    <n v="33"/>
    <s v="Mumbai"/>
    <s v="DOC-106"/>
    <s v="Dr. Neha Sharma"/>
    <x v="2"/>
    <n v="8"/>
    <d v="2025-05-08T00:00:00"/>
    <d v="2025-05-18T00:00:00"/>
    <s v="Ligament Tear Repair"/>
    <s v="Completed"/>
    <n v="98860.39"/>
    <n v="70190.880000000005"/>
    <n v="28669.51"/>
    <s v="Paid"/>
    <n v="10"/>
    <n v="0.71000003135735157"/>
    <n v="0.28999996864264849"/>
  </r>
  <r>
    <n v="10906"/>
    <s v="PAT-1041"/>
    <s v="Ananya Patel"/>
    <s v="Female"/>
    <n v="66"/>
    <s v="Delhi"/>
    <s v="DOC-107"/>
    <s v="Dr. Meera Nair"/>
    <x v="1"/>
    <n v="9"/>
    <d v="2025-07-22T00:00:00"/>
    <d v="2025-08-01T00:00:00"/>
    <s v="Pneumonia Management"/>
    <s v="Completed"/>
    <n v="67512.22"/>
    <n v="56035.14"/>
    <n v="11477.08"/>
    <s v="Paid"/>
    <n v="10"/>
    <n v="0.82999996148845345"/>
    <n v="0.17000003851154649"/>
  </r>
  <r>
    <n v="10907"/>
    <s v="PAT-1024"/>
    <s v="Rahul Nair"/>
    <s v="Female"/>
    <n v="47"/>
    <s v="Delhi"/>
    <s v="DOC-101"/>
    <s v="Dr. Rajesh Khanna"/>
    <x v="0"/>
    <n v="15"/>
    <d v="2025-05-25T00:00:00"/>
    <d v="2025-06-05T00:00:00"/>
    <s v="Heart Failure Management"/>
    <s v="Completed"/>
    <n v="217556.32"/>
    <n v="134884.92000000001"/>
    <n v="82671.399999999994"/>
    <s v="Pending"/>
    <n v="11"/>
    <n v="0.62000000735441751"/>
    <n v="0.37999999264558249"/>
  </r>
  <r>
    <n v="10908"/>
    <s v="PAT-1012"/>
    <s v="Ananya Saxena"/>
    <s v="Male"/>
    <n v="40"/>
    <s v="Delhi"/>
    <s v="DOC-107"/>
    <s v="Dr. Meera Nair"/>
    <x v="1"/>
    <n v="9"/>
    <d v="2025-07-11T00:00:00"/>
    <d v="2025-07-21T00:00:00"/>
    <s v="Acute Viral Fever &amp; Infection"/>
    <s v="Completed"/>
    <n v="22810.799999999999"/>
    <n v="15055.13"/>
    <n v="7755.67"/>
    <s v="Paid"/>
    <n v="10"/>
    <n v="0.66000008767776663"/>
    <n v="0.33999991232223337"/>
  </r>
  <r>
    <n v="10909"/>
    <s v="PAT-1021"/>
    <s v="Amit Gupta"/>
    <s v="Male"/>
    <n v="65"/>
    <s v="Pune"/>
    <s v="DOC-102"/>
    <s v="Dr. Alok Verma"/>
    <x v="0"/>
    <n v="12"/>
    <d v="2025-08-21T00:00:00"/>
    <d v="2025-08-28T00:00:00"/>
    <s v="Heart Failure Management"/>
    <s v="Completed"/>
    <n v="245785.82"/>
    <n v="154845.07"/>
    <n v="90940.75"/>
    <s v="Paid"/>
    <n v="7"/>
    <n v="0.63000001383318205"/>
    <n v="0.3699999861668179"/>
  </r>
  <r>
    <n v="10910"/>
    <s v="PAT-1044"/>
    <s v="Pooja Singh"/>
    <s v="Male"/>
    <n v="67"/>
    <s v="Hyderabad"/>
    <s v="DOC-108"/>
    <s v="Dr. Sanjay Gupta"/>
    <x v="1"/>
    <n v="11"/>
    <d v="2025-07-01T00:00:00"/>
    <d v="2025-07-14T00:00:00"/>
    <s v="Acute Viral Fever &amp; Infection"/>
    <s v="Completed"/>
    <n v="20128.849999999999"/>
    <n v="12278.6"/>
    <n v="7850.25"/>
    <s v="Pending"/>
    <n v="13"/>
    <n v="0.61000007451990557"/>
    <n v="0.38999992548009454"/>
  </r>
  <r>
    <n v="10911"/>
    <s v="PAT-1029"/>
    <s v="Amit Rao"/>
    <s v="Female"/>
    <n v="59"/>
    <s v="Jaipur"/>
    <s v="DOC-105"/>
    <s v="Dr. Amit Kumar"/>
    <x v="2"/>
    <n v="10"/>
    <d v="2025-05-17T00:00:00"/>
    <d v="2025-05-19T00:00:00"/>
    <s v="Knee Replacement Surgery"/>
    <s v="Completed"/>
    <n v="293975.78000000003"/>
    <n v="188144.5"/>
    <n v="105831.28"/>
    <s v="Paid"/>
    <n v="2"/>
    <n v="0.64000000272131252"/>
    <n v="0.35999999727868737"/>
  </r>
  <r>
    <n v="10912"/>
    <s v="PAT-1032"/>
    <s v="Rahul Joshi"/>
    <s v="Female"/>
    <n v="19"/>
    <s v="Gurgaon"/>
    <s v="DOC-104"/>
    <s v="Dr. Vikramaditya Rao"/>
    <x v="3"/>
    <n v="18"/>
    <d v="2025-09-17T00:00:00"/>
    <d v="2025-09-25T00:00:00"/>
    <s v="Acute Ischemic Stroke"/>
    <s v="Follow-up"/>
    <n v="228767.72"/>
    <n v="155562.04999999999"/>
    <n v="73205.67"/>
    <s v="Paid"/>
    <n v="8"/>
    <n v="0.68000000174849839"/>
    <n v="0.31999999825150155"/>
  </r>
  <r>
    <n v="10913"/>
    <s v="PAT-1048"/>
    <s v="Pooja Verma"/>
    <s v="Female"/>
    <n v="39"/>
    <s v="Pune"/>
    <s v="DOC-108"/>
    <s v="Dr. Sanjay Gupta"/>
    <x v="1"/>
    <n v="11"/>
    <d v="2025-02-24T00:00:00"/>
    <d v="2025-03-01T00:00:00"/>
    <s v="Pneumonia Management"/>
    <s v="Completed"/>
    <n v="67312.14"/>
    <n v="49810.98"/>
    <n v="17501.16"/>
    <s v="Paid"/>
    <n v="5"/>
    <n v="0.73999994651781986"/>
    <n v="0.26000005348218019"/>
  </r>
  <r>
    <n v="10914"/>
    <s v="PAT-1002"/>
    <s v="Amit Saxena"/>
    <s v="Male"/>
    <n v="56"/>
    <s v="Ghaziabad"/>
    <s v="DOC-105"/>
    <s v="Dr. Amit Kumar"/>
    <x v="2"/>
    <n v="10"/>
    <d v="2025-08-11T00:00:00"/>
    <d v="2025-08-13T00:00:00"/>
    <s v="Cervical Spondylosis"/>
    <s v="Completed"/>
    <n v="47268.38"/>
    <n v="37342.019999999997"/>
    <n v="9926.36"/>
    <s v="Paid"/>
    <n v="2"/>
    <n v="0.78999999576884161"/>
    <n v="0.21000000423115836"/>
  </r>
  <r>
    <n v="10915"/>
    <s v="PAT-1004"/>
    <s v="Neha Patel"/>
    <s v="Male"/>
    <n v="34"/>
    <s v="Ghaziabad"/>
    <s v="DOC-102"/>
    <s v="Dr. Alok Verma"/>
    <x v="0"/>
    <n v="12"/>
    <d v="2025-09-20T00:00:00"/>
    <d v="2025-09-30T00:00:00"/>
    <s v="Heart Failure Management"/>
    <s v="Completed"/>
    <n v="105886.97"/>
    <n v="86827.32"/>
    <n v="19059.650000000001"/>
    <s v="Pending"/>
    <n v="10"/>
    <n v="0.82000004344255017"/>
    <n v="0.17999995655744991"/>
  </r>
  <r>
    <n v="10916"/>
    <s v="PAT-1029"/>
    <s v="Amit Rao"/>
    <s v="Female"/>
    <n v="59"/>
    <s v="Jaipur"/>
    <s v="DOC-105"/>
    <s v="Dr. Amit Kumar"/>
    <x v="2"/>
    <n v="10"/>
    <d v="2025-08-23T00:00:00"/>
    <d v="2025-09-03T00:00:00"/>
    <s v="Knee Replacement Surgery"/>
    <s v="Follow-up"/>
    <n v="226571.49"/>
    <n v="147271.47"/>
    <n v="79300.02"/>
    <s v="Pending"/>
    <n v="11"/>
    <n v="0.65000000662042701"/>
    <n v="0.34999999337957305"/>
  </r>
  <r>
    <n v="10917"/>
    <s v="PAT-1008"/>
    <s v="Priya Rao"/>
    <s v="Female"/>
    <n v="37"/>
    <s v="Ghaziabad"/>
    <s v="DOC-103"/>
    <s v="Dr. Sunita Kapoor"/>
    <x v="3"/>
    <n v="14"/>
    <d v="2025-06-25T00:00:00"/>
    <d v="2025-07-02T00:00:00"/>
    <s v="Migraine &amp; Nerve Compression"/>
    <s v="Completed"/>
    <n v="15209.13"/>
    <n v="9429.66"/>
    <n v="5779.47"/>
    <s v="Pending"/>
    <n v="7"/>
    <n v="0.61999996055001172"/>
    <n v="0.38000003944998828"/>
  </r>
  <r>
    <n v="10918"/>
    <s v="PAT-1010"/>
    <s v="Siddharth Rao"/>
    <s v="Male"/>
    <n v="45"/>
    <s v="Noida"/>
    <s v="DOC-101"/>
    <s v="Dr. Rajesh Khanna"/>
    <x v="0"/>
    <n v="15"/>
    <d v="2025-07-06T00:00:00"/>
    <d v="2025-07-13T00:00:00"/>
    <s v="Hypertension &amp; Arrhythmia"/>
    <s v="Completed"/>
    <n v="66462.509999999995"/>
    <n v="47853.01"/>
    <n v="18609.5"/>
    <s v="Paid"/>
    <n v="7"/>
    <n v="0.72000004212901392"/>
    <n v="0.27999995787098625"/>
  </r>
  <r>
    <n v="10919"/>
    <s v="PAT-1026"/>
    <s v="Manish Gupta"/>
    <s v="Female"/>
    <n v="47"/>
    <s v="Ghaziabad"/>
    <s v="DOC-108"/>
    <s v="Dr. Sanjay Gupta"/>
    <x v="1"/>
    <n v="11"/>
    <d v="2025-04-01T00:00:00"/>
    <d v="2025-04-04T00:00:00"/>
    <s v="Typhoid &amp; Severe Dehydration"/>
    <s v="Completed"/>
    <n v="18859.04"/>
    <n v="15275.82"/>
    <n v="3583.22"/>
    <s v="Paid"/>
    <n v="3"/>
    <n v="0.80999987274007579"/>
    <n v="0.19000012725992413"/>
  </r>
  <r>
    <n v="10920"/>
    <s v="PAT-1003"/>
    <s v="Manish Mehta"/>
    <s v="Female"/>
    <n v="62"/>
    <s v="Ghaziabad"/>
    <s v="DOC-103"/>
    <s v="Dr. Sunita Kapoor"/>
    <x v="3"/>
    <n v="14"/>
    <d v="2025-02-04T00:00:00"/>
    <d v="2025-02-10T00:00:00"/>
    <s v="Acute Ischemic Stroke"/>
    <s v="Completed"/>
    <n v="274499.65000000002"/>
    <n v="227834.71"/>
    <n v="46664.94"/>
    <s v="Pending"/>
    <n v="6"/>
    <n v="0.8300000018214958"/>
    <n v="0.16999999817850406"/>
  </r>
  <r>
    <n v="10921"/>
    <s v="PAT-1023"/>
    <s v="Neha Rao"/>
    <s v="Male"/>
    <n v="21"/>
    <s v="Pune"/>
    <s v="DOC-102"/>
    <s v="Dr. Alok Verma"/>
    <x v="0"/>
    <n v="12"/>
    <d v="2025-02-19T00:00:00"/>
    <d v="2025-02-25T00:00:00"/>
    <s v="Coronary Artery Disease"/>
    <s v="Completed"/>
    <n v="348591.81"/>
    <n v="226584.68"/>
    <n v="122007.13"/>
    <s v="Paid"/>
    <n v="6"/>
    <n v="0.65000001004039654"/>
    <n v="0.34999998995960346"/>
  </r>
  <r>
    <n v="10922"/>
    <s v="PAT-1041"/>
    <s v="Ananya Patel"/>
    <s v="Female"/>
    <n v="66"/>
    <s v="Delhi"/>
    <s v="DOC-103"/>
    <s v="Dr. Sunita Kapoor"/>
    <x v="3"/>
    <n v="14"/>
    <d v="2025-06-15T00:00:00"/>
    <d v="2025-06-27T00:00:00"/>
    <s v="Epilepsy Monitoring"/>
    <s v="Completed"/>
    <n v="45634.57"/>
    <n v="33313.24"/>
    <n v="12321.33"/>
    <s v="Pending"/>
    <n v="12"/>
    <n v="0.73000008546152617"/>
    <n v="0.26999991453847377"/>
  </r>
  <r>
    <n v="10923"/>
    <s v="PAT-1009"/>
    <s v="Priya Kumar"/>
    <s v="Female"/>
    <n v="60"/>
    <s v="Faridabad"/>
    <s v="DOC-102"/>
    <s v="Dr. Alok Verma"/>
    <x v="0"/>
    <n v="12"/>
    <d v="2025-07-14T00:00:00"/>
    <d v="2025-07-18T00:00:00"/>
    <s v="Heart Failure Management"/>
    <s v="Follow-up"/>
    <n v="81287.77"/>
    <n v="58527.19"/>
    <n v="22760.58"/>
    <s v="Paid"/>
    <n v="4"/>
    <n v="0.71999994587131622"/>
    <n v="0.28000005412868384"/>
  </r>
  <r>
    <n v="10924"/>
    <s v="PAT-1037"/>
    <s v="Kavya Kumar"/>
    <s v="Male"/>
    <n v="61"/>
    <s v="Mumbai"/>
    <s v="DOC-103"/>
    <s v="Dr. Sunita Kapoor"/>
    <x v="3"/>
    <n v="14"/>
    <d v="2025-09-08T00:00:00"/>
    <d v="2025-09-13T00:00:00"/>
    <s v="Epilepsy Monitoring"/>
    <s v="Completed"/>
    <n v="82497.73"/>
    <n v="67648.14"/>
    <n v="14849.59"/>
    <s v="Paid"/>
    <n v="5"/>
    <n v="0.82000001697016389"/>
    <n v="0.17999998302983611"/>
  </r>
  <r>
    <n v="10925"/>
    <s v="PAT-1009"/>
    <s v="Priya Kumar"/>
    <s v="Female"/>
    <n v="60"/>
    <s v="Faridabad"/>
    <s v="DOC-108"/>
    <s v="Dr. Sanjay Gupta"/>
    <x v="1"/>
    <n v="11"/>
    <d v="2025-09-04T00:00:00"/>
    <d v="2025-09-15T00:00:00"/>
    <s v="Acute Viral Fever &amp; Infection"/>
    <s v="Completed"/>
    <n v="17390.13"/>
    <n v="13738.2"/>
    <n v="3651.93"/>
    <s v="Paid"/>
    <n v="11"/>
    <n v="0.78999984473951601"/>
    <n v="0.21000015526048393"/>
  </r>
  <r>
    <n v="10926"/>
    <s v="PAT-1017"/>
    <s v="Ritu Saxena"/>
    <s v="Female"/>
    <n v="73"/>
    <s v="Gurgaon"/>
    <s v="DOC-105"/>
    <s v="Dr. Amit Kumar"/>
    <x v="2"/>
    <n v="10"/>
    <d v="2025-02-10T00:00:00"/>
    <d v="2025-02-13T00:00:00"/>
    <s v="Knee Replacement Surgery"/>
    <s v="Completed"/>
    <n v="164828.04999999999"/>
    <n v="110434.79"/>
    <n v="54393.26"/>
    <s v="Paid"/>
    <n v="3"/>
    <n v="0.66999997876575013"/>
    <n v="0.33000002123424993"/>
  </r>
  <r>
    <n v="10927"/>
    <s v="PAT-1006"/>
    <s v="Neha Singh"/>
    <s v="Female"/>
    <n v="68"/>
    <s v="Mumbai"/>
    <s v="DOC-105"/>
    <s v="Dr. Amit Kumar"/>
    <x v="2"/>
    <n v="10"/>
    <d v="2025-09-23T00:00:00"/>
    <d v="2025-10-03T00:00:00"/>
    <s v="Knee Replacement Surgery"/>
    <s v="Follow-up"/>
    <n v="288442.17"/>
    <n v="175949.72"/>
    <n v="112492.45"/>
    <s v="Paid"/>
    <n v="10"/>
    <n v="0.60999998717247206"/>
    <n v="0.390000012827528"/>
  </r>
  <r>
    <n v="10928"/>
    <s v="PAT-1037"/>
    <s v="Kavya Kumar"/>
    <s v="Male"/>
    <n v="61"/>
    <s v="Mumbai"/>
    <s v="DOC-108"/>
    <s v="Dr. Sanjay Gupta"/>
    <x v="1"/>
    <n v="11"/>
    <d v="2025-02-14T00:00:00"/>
    <d v="2025-02-17T00:00:00"/>
    <s v="Acute Viral Fever &amp; Infection"/>
    <s v="Completed"/>
    <n v="17887.740000000002"/>
    <n v="13594.68"/>
    <n v="4293.0600000000004"/>
    <s v="Paid"/>
    <n v="3"/>
    <n v="0.75999986582989243"/>
    <n v="0.24000013417010757"/>
  </r>
  <r>
    <n v="10929"/>
    <s v="PAT-1040"/>
    <s v="Pooja Mehta"/>
    <s v="Male"/>
    <n v="74"/>
    <s v="Bangalore"/>
    <s v="DOC-101"/>
    <s v="Dr. Rajesh Khanna"/>
    <x v="0"/>
    <n v="15"/>
    <d v="2025-09-19T00:00:00"/>
    <d v="2025-09-28T00:00:00"/>
    <s v="Coronary Artery Disease"/>
    <s v="Follow-up"/>
    <n v="318684.58"/>
    <n v="226266.05"/>
    <n v="92418.53"/>
    <s v="Paid"/>
    <n v="9"/>
    <n v="0.70999999435178185"/>
    <n v="0.29000000564821804"/>
  </r>
  <r>
    <n v="10930"/>
    <s v="PAT-1015"/>
    <s v="Vikram Verma"/>
    <s v="Male"/>
    <n v="43"/>
    <s v="Mumbai"/>
    <s v="DOC-103"/>
    <s v="Dr. Sunita Kapoor"/>
    <x v="3"/>
    <n v="14"/>
    <d v="2025-02-01T00:00:00"/>
    <d v="2025-02-11T00:00:00"/>
    <s v="Acute Ischemic Stroke"/>
    <s v="Completed"/>
    <n v="169456.22"/>
    <n v="111841.11"/>
    <n v="57615.11"/>
    <s v="Paid"/>
    <n v="10"/>
    <n v="0.66000002832590032"/>
    <n v="0.33999997167409968"/>
  </r>
  <r>
    <n v="10931"/>
    <s v="PAT-1009"/>
    <s v="Priya Kumar"/>
    <s v="Female"/>
    <n v="60"/>
    <s v="Faridabad"/>
    <s v="DOC-108"/>
    <s v="Dr. Sanjay Gupta"/>
    <x v="1"/>
    <n v="11"/>
    <d v="2025-07-12T00:00:00"/>
    <d v="2025-07-25T00:00:00"/>
    <s v="Pneumonia Management"/>
    <s v="Completed"/>
    <n v="43971.17"/>
    <n v="35616.65"/>
    <n v="8354.52"/>
    <s v="Paid"/>
    <n v="13"/>
    <n v="0.81000005230700034"/>
    <n v="0.18999994769299977"/>
  </r>
  <r>
    <n v="10932"/>
    <s v="PAT-1011"/>
    <s v="Siddharth Nair"/>
    <s v="Female"/>
    <n v="18"/>
    <s v="Hyderabad"/>
    <s v="DOC-108"/>
    <s v="Dr. Sanjay Gupta"/>
    <x v="1"/>
    <n v="11"/>
    <d v="2025-03-28T00:00:00"/>
    <d v="2025-04-10T00:00:00"/>
    <s v="Pneumonia Management"/>
    <s v="Completed"/>
    <n v="39978.589999999997"/>
    <n v="27185.439999999999"/>
    <n v="12793.15"/>
    <s v="Paid"/>
    <n v="13"/>
    <n v="0.67999996998393397"/>
    <n v="0.32000003001606614"/>
  </r>
  <r>
    <n v="10933"/>
    <s v="PAT-1015"/>
    <s v="Vikram Verma"/>
    <s v="Male"/>
    <n v="43"/>
    <s v="Mumbai"/>
    <s v="DOC-103"/>
    <s v="Dr. Sunita Kapoor"/>
    <x v="3"/>
    <n v="14"/>
    <d v="2025-06-03T00:00:00"/>
    <d v="2025-06-08T00:00:00"/>
    <s v="Acute Ischemic Stroke"/>
    <s v="Follow-up"/>
    <n v="303010.17"/>
    <n v="257558.64"/>
    <n v="45451.53"/>
    <s v="Paid"/>
    <n v="5"/>
    <n v="0.84999998514901343"/>
    <n v="0.15000001485098668"/>
  </r>
  <r>
    <n v="10934"/>
    <s v="PAT-1025"/>
    <s v="Ananya Mehta"/>
    <s v="Female"/>
    <n v="23"/>
    <s v="Faridabad"/>
    <s v="DOC-103"/>
    <s v="Dr. Sunita Kapoor"/>
    <x v="3"/>
    <n v="14"/>
    <d v="2025-09-25T00:00:00"/>
    <d v="2025-10-08T00:00:00"/>
    <s v="Epilepsy Monitoring"/>
    <s v="Completed"/>
    <n v="31357.18"/>
    <n v="26653.599999999999"/>
    <n v="4703.58"/>
    <s v="Paid"/>
    <n v="13"/>
    <n v="0.84999990432813144"/>
    <n v="0.15000009567186845"/>
  </r>
  <r>
    <n v="10935"/>
    <s v="PAT-1022"/>
    <s v="Kavya Gupta"/>
    <s v="Male"/>
    <n v="27"/>
    <s v="Faridabad"/>
    <s v="DOC-103"/>
    <s v="Dr. Sunita Kapoor"/>
    <x v="3"/>
    <n v="14"/>
    <d v="2025-10-06T00:00:00"/>
    <d v="2025-10-08T00:00:00"/>
    <s v="Acute Ischemic Stroke"/>
    <s v="Completed"/>
    <n v="274841.37"/>
    <n v="197885.79"/>
    <n v="76955.58"/>
    <s v="Paid"/>
    <n v="2"/>
    <n v="0.72000001309846484"/>
    <n v="0.27999998690153527"/>
  </r>
  <r>
    <n v="10936"/>
    <s v="PAT-1049"/>
    <s v="Pooja Verma"/>
    <s v="Male"/>
    <n v="48"/>
    <s v="Bangalore"/>
    <s v="DOC-103"/>
    <s v="Dr. Sunita Kapoor"/>
    <x v="3"/>
    <n v="14"/>
    <d v="2025-10-18T00:00:00"/>
    <d v="2025-11-01T00:00:00"/>
    <s v="Migraine &amp; Nerve Compression"/>
    <s v="Completed"/>
    <n v="33090.699999999997"/>
    <n v="22832.58"/>
    <n v="10258.120000000001"/>
    <s v="Paid"/>
    <n v="14"/>
    <n v="0.68999990934008659"/>
    <n v="0.31000009065991357"/>
  </r>
  <r>
    <n v="10937"/>
    <s v="PAT-1050"/>
    <s v="Priya Mehta"/>
    <s v="Male"/>
    <n v="33"/>
    <s v="Mumbai"/>
    <s v="DOC-106"/>
    <s v="Dr. Neha Sharma"/>
    <x v="2"/>
    <n v="8"/>
    <d v="2025-03-09T00:00:00"/>
    <d v="2025-03-15T00:00:00"/>
    <s v="Ligament Tear Repair"/>
    <s v="Completed"/>
    <n v="125023.89"/>
    <n v="75014.33"/>
    <n v="50009.56"/>
    <s v="Paid"/>
    <n v="6"/>
    <n v="0.59999996800611466"/>
    <n v="0.40000003199388529"/>
  </r>
  <r>
    <n v="10938"/>
    <s v="PAT-1035"/>
    <s v="Rahul Verma"/>
    <s v="Male"/>
    <n v="27"/>
    <s v="Noida"/>
    <s v="DOC-103"/>
    <s v="Dr. Sunita Kapoor"/>
    <x v="3"/>
    <n v="14"/>
    <d v="2025-03-27T00:00:00"/>
    <d v="2025-04-09T00:00:00"/>
    <s v="Epilepsy Monitoring"/>
    <s v="Completed"/>
    <n v="69859.27"/>
    <n v="43312.75"/>
    <n v="26546.52"/>
    <s v="Pending"/>
    <n v="13"/>
    <n v="0.6200000372176806"/>
    <n v="0.37999996278231934"/>
  </r>
  <r>
    <n v="10939"/>
    <s v="PAT-1042"/>
    <s v="Ananya Sharma"/>
    <s v="Female"/>
    <n v="65"/>
    <s v="Hyderabad"/>
    <s v="DOC-107"/>
    <s v="Dr. Meera Nair"/>
    <x v="1"/>
    <n v="9"/>
    <d v="2025-11-14T00:00:00"/>
    <d v="2025-11-27T00:00:00"/>
    <s v="Typhoid &amp; Severe Dehydration"/>
    <s v="Completed"/>
    <n v="18053.759999999998"/>
    <n v="12276.56"/>
    <n v="5777.2"/>
    <s v="Pending"/>
    <n v="13"/>
    <n v="0.6800001772483959"/>
    <n v="0.3199998227516041"/>
  </r>
  <r>
    <n v="10940"/>
    <s v="PAT-1025"/>
    <s v="Ananya Mehta"/>
    <s v="Female"/>
    <n v="23"/>
    <s v="Faridabad"/>
    <s v="DOC-106"/>
    <s v="Dr. Neha Sharma"/>
    <x v="2"/>
    <n v="8"/>
    <d v="2025-10-07T00:00:00"/>
    <d v="2025-10-21T00:00:00"/>
    <s v="Knee Replacement Surgery"/>
    <s v="Completed"/>
    <n v="163690.84"/>
    <n v="129315.76"/>
    <n v="34375.08"/>
    <s v="Pending"/>
    <n v="14"/>
    <n v="0.78999997800732158"/>
    <n v="0.21000002199267842"/>
  </r>
  <r>
    <n v="10941"/>
    <s v="PAT-1023"/>
    <s v="Neha Rao"/>
    <s v="Male"/>
    <n v="21"/>
    <s v="Pune"/>
    <s v="DOC-105"/>
    <s v="Dr. Amit Kumar"/>
    <x v="2"/>
    <n v="10"/>
    <d v="2025-01-06T00:00:00"/>
    <d v="2025-01-16T00:00:00"/>
    <s v="Ligament Tear Repair"/>
    <s v="Follow-up"/>
    <n v="107827.74"/>
    <n v="77635.97"/>
    <n v="30191.77"/>
    <s v="Paid"/>
    <n v="10"/>
    <n v="0.71999997403265614"/>
    <n v="0.28000002596734386"/>
  </r>
  <r>
    <n v="10942"/>
    <s v="PAT-1009"/>
    <s v="Priya Kumar"/>
    <s v="Female"/>
    <n v="60"/>
    <s v="Faridabad"/>
    <s v="DOC-105"/>
    <s v="Dr. Amit Kumar"/>
    <x v="2"/>
    <n v="10"/>
    <d v="2025-03-23T00:00:00"/>
    <d v="2025-04-03T00:00:00"/>
    <s v="Knee Replacement Surgery"/>
    <s v="Follow-up"/>
    <n v="363846.03"/>
    <n v="240138.38"/>
    <n v="123707.65"/>
    <s v="Paid"/>
    <n v="11"/>
    <n v="0.660000000549683"/>
    <n v="0.33999999945031689"/>
  </r>
  <r>
    <n v="10943"/>
    <s v="PAT-1009"/>
    <s v="Priya Kumar"/>
    <s v="Female"/>
    <n v="60"/>
    <s v="Faridabad"/>
    <s v="DOC-102"/>
    <s v="Dr. Alok Verma"/>
    <x v="0"/>
    <n v="12"/>
    <d v="2025-04-18T00:00:00"/>
    <d v="2025-05-01T00:00:00"/>
    <s v="Heart Failure Management"/>
    <s v="Completed"/>
    <n v="113291.12"/>
    <n v="86101.25"/>
    <n v="27189.87"/>
    <s v="Paid"/>
    <n v="13"/>
    <n v="0.75999998940781943"/>
    <n v="0.24000001059218057"/>
  </r>
  <r>
    <n v="10944"/>
    <s v="PAT-1021"/>
    <s v="Amit Gupta"/>
    <s v="Male"/>
    <n v="65"/>
    <s v="Pune"/>
    <s v="DOC-103"/>
    <s v="Dr. Sunita Kapoor"/>
    <x v="3"/>
    <n v="14"/>
    <d v="2025-11-04T00:00:00"/>
    <d v="2025-11-15T00:00:00"/>
    <s v="Epilepsy Monitoring"/>
    <s v="Follow-up"/>
    <n v="38731.519999999997"/>
    <n v="29048.639999999999"/>
    <n v="9682.8799999999992"/>
    <s v="Paid"/>
    <n v="11"/>
    <n v="0.75"/>
    <n v="0.25"/>
  </r>
  <r>
    <n v="10945"/>
    <s v="PAT-1009"/>
    <s v="Priya Kumar"/>
    <s v="Female"/>
    <n v="60"/>
    <s v="Faridabad"/>
    <s v="DOC-104"/>
    <s v="Dr. Vikramaditya Rao"/>
    <x v="3"/>
    <n v="18"/>
    <d v="2025-03-05T00:00:00"/>
    <d v="2025-03-08T00:00:00"/>
    <s v="Migraine &amp; Nerve Compression"/>
    <s v="Completed"/>
    <n v="41367.019999999997"/>
    <n v="26061.22"/>
    <n v="15305.8"/>
    <s v="Paid"/>
    <n v="3"/>
    <n v="0.62999993714799862"/>
    <n v="0.37000006285200143"/>
  </r>
  <r>
    <n v="10946"/>
    <s v="PAT-1006"/>
    <s v="Neha Singh"/>
    <s v="Female"/>
    <n v="68"/>
    <s v="Mumbai"/>
    <s v="DOC-105"/>
    <s v="Dr. Amit Kumar"/>
    <x v="2"/>
    <n v="10"/>
    <d v="2025-10-12T00:00:00"/>
    <d v="2025-10-17T00:00:00"/>
    <s v="Ligament Tear Repair"/>
    <s v="Completed"/>
    <n v="82106.850000000006"/>
    <n v="67327.62"/>
    <n v="14779.23"/>
    <s v="Paid"/>
    <n v="5"/>
    <n v="0.82000003653775522"/>
    <n v="0.17999996346224462"/>
  </r>
  <r>
    <n v="10947"/>
    <s v="PAT-1035"/>
    <s v="Rahul Verma"/>
    <s v="Male"/>
    <n v="27"/>
    <s v="Noida"/>
    <s v="DOC-107"/>
    <s v="Dr. Meera Nair"/>
    <x v="1"/>
    <n v="9"/>
    <d v="2025-09-16T00:00:00"/>
    <d v="2025-09-29T00:00:00"/>
    <s v="Typhoid &amp; Severe Dehydration"/>
    <s v="Completed"/>
    <n v="28829.75"/>
    <n v="23928.69"/>
    <n v="4901.0600000000004"/>
    <s v="Paid"/>
    <n v="13"/>
    <n v="0.82999991328402078"/>
    <n v="0.17000008671597916"/>
  </r>
  <r>
    <n v="10948"/>
    <s v="PAT-1026"/>
    <s v="Manish Gupta"/>
    <s v="Female"/>
    <n v="47"/>
    <s v="Ghaziabad"/>
    <s v="DOC-104"/>
    <s v="Dr. Vikramaditya Rao"/>
    <x v="3"/>
    <n v="18"/>
    <d v="2025-03-10T00:00:00"/>
    <d v="2025-03-13T00:00:00"/>
    <s v="Migraine &amp; Nerve Compression"/>
    <s v="Completed"/>
    <n v="23326.400000000001"/>
    <n v="16561.740000000002"/>
    <n v="6764.66"/>
    <s v="Paid"/>
    <n v="3"/>
    <n v="0.70999982852047472"/>
    <n v="0.29000017147952534"/>
  </r>
  <r>
    <n v="10949"/>
    <s v="PAT-1045"/>
    <s v="Sneha Sharma"/>
    <s v="Male"/>
    <n v="44"/>
    <s v="Hyderabad"/>
    <s v="DOC-102"/>
    <s v="Dr. Alok Verma"/>
    <x v="0"/>
    <n v="12"/>
    <d v="2025-08-20T00:00:00"/>
    <d v="2025-08-23T00:00:00"/>
    <s v="Heart Failure Management"/>
    <s v="Follow-up"/>
    <n v="171151.64"/>
    <n v="124940.7"/>
    <n v="46210.94"/>
    <s v="Paid"/>
    <n v="3"/>
    <n v="0.73000001635976131"/>
    <n v="0.26999998364023853"/>
  </r>
  <r>
    <n v="10950"/>
    <s v="PAT-1038"/>
    <s v="Rahul Kumar"/>
    <s v="Male"/>
    <n v="26"/>
    <s v="Hyderabad"/>
    <s v="DOC-107"/>
    <s v="Dr. Meera Nair"/>
    <x v="1"/>
    <n v="9"/>
    <d v="2025-07-13T00:00:00"/>
    <d v="2025-07-22T00:00:00"/>
    <s v="Pneumonia Management"/>
    <s v="Follow-up"/>
    <n v="26047.57"/>
    <n v="21879.96"/>
    <n v="4167.6099999999997"/>
    <s v="Pending"/>
    <n v="9"/>
    <n v="0.84000004606955658"/>
    <n v="0.15999995393044342"/>
  </r>
  <r>
    <n v="10951"/>
    <s v="PAT-1004"/>
    <s v="Neha Patel"/>
    <s v="Male"/>
    <n v="34"/>
    <s v="Ghaziabad"/>
    <s v="DOC-106"/>
    <s v="Dr. Neha Sharma"/>
    <x v="2"/>
    <n v="8"/>
    <d v="2025-09-18T00:00:00"/>
    <d v="2025-09-28T00:00:00"/>
    <s v="Ligament Tear Repair"/>
    <s v="Completed"/>
    <n v="113054.37"/>
    <n v="72354.8"/>
    <n v="40699.57"/>
    <s v="Pending"/>
    <n v="10"/>
    <n v="0.64000002830496516"/>
    <n v="0.35999997169503489"/>
  </r>
  <r>
    <n v="10952"/>
    <s v="PAT-1015"/>
    <s v="Vikram Verma"/>
    <s v="Male"/>
    <n v="43"/>
    <s v="Mumbai"/>
    <s v="DOC-105"/>
    <s v="Dr. Amit Kumar"/>
    <x v="2"/>
    <n v="10"/>
    <d v="2025-08-07T00:00:00"/>
    <d v="2025-08-19T00:00:00"/>
    <s v="Cervical Spondylosis"/>
    <s v="Completed"/>
    <n v="38097.019999999997"/>
    <n v="30477.62"/>
    <n v="7619.4"/>
    <s v="Paid"/>
    <n v="12"/>
    <n v="0.80000010499508889"/>
    <n v="0.19999989500491117"/>
  </r>
  <r>
    <n v="10953"/>
    <s v="PAT-1004"/>
    <s v="Neha Patel"/>
    <s v="Male"/>
    <n v="34"/>
    <s v="Ghaziabad"/>
    <s v="DOC-105"/>
    <s v="Dr. Amit Kumar"/>
    <x v="2"/>
    <n v="10"/>
    <d v="2025-12-14T00:00:00"/>
    <d v="2025-12-17T00:00:00"/>
    <s v="Ligament Tear Repair"/>
    <s v="Completed"/>
    <n v="69779.100000000006"/>
    <n v="45356.42"/>
    <n v="24422.68"/>
    <s v="Pending"/>
    <n v="3"/>
    <n v="0.65000007165469309"/>
    <n v="0.3499999283453068"/>
  </r>
  <r>
    <n v="10954"/>
    <s v="PAT-1010"/>
    <s v="Siddharth Rao"/>
    <s v="Male"/>
    <n v="45"/>
    <s v="Noida"/>
    <s v="DOC-108"/>
    <s v="Dr. Sanjay Gupta"/>
    <x v="1"/>
    <n v="11"/>
    <d v="2025-09-15T00:00:00"/>
    <d v="2025-09-18T00:00:00"/>
    <s v="Acute Viral Fever &amp; Infection"/>
    <s v="Follow-up"/>
    <n v="13326.93"/>
    <n v="10928.08"/>
    <n v="2398.85"/>
    <s v="Paid"/>
    <n v="3"/>
    <n v="0.8199998049063062"/>
    <n v="0.18000019509369375"/>
  </r>
  <r>
    <n v="10955"/>
    <s v="PAT-1019"/>
    <s v="Aarav Kapoor"/>
    <s v="Female"/>
    <n v="52"/>
    <s v="Hyderabad"/>
    <s v="DOC-107"/>
    <s v="Dr. Meera Nair"/>
    <x v="1"/>
    <n v="9"/>
    <d v="2025-06-25T00:00:00"/>
    <d v="2025-07-03T00:00:00"/>
    <s v="Typhoid &amp; Severe Dehydration"/>
    <s v="Follow-up"/>
    <n v="33301.480000000003"/>
    <n v="23977.07"/>
    <n v="9324.41"/>
    <s v="Paid"/>
    <n v="8"/>
    <n v="0.7200001321262598"/>
    <n v="0.27999986787374009"/>
  </r>
  <r>
    <n v="10956"/>
    <s v="PAT-1011"/>
    <s v="Siddharth Nair"/>
    <s v="Female"/>
    <n v="18"/>
    <s v="Hyderabad"/>
    <s v="DOC-106"/>
    <s v="Dr. Neha Sharma"/>
    <x v="2"/>
    <n v="8"/>
    <d v="2025-07-20T00:00:00"/>
    <d v="2025-07-26T00:00:00"/>
    <s v="Knee Replacement Surgery"/>
    <s v="Completed"/>
    <n v="363916.73"/>
    <n v="283855.05"/>
    <n v="80061.679999999993"/>
    <s v="Paid"/>
    <n v="6"/>
    <n v="0.78000000164872885"/>
    <n v="0.21999999835127118"/>
  </r>
  <r>
    <n v="10957"/>
    <s v="PAT-1026"/>
    <s v="Manish Gupta"/>
    <s v="Female"/>
    <n v="47"/>
    <s v="Ghaziabad"/>
    <s v="DOC-103"/>
    <s v="Dr. Sunita Kapoor"/>
    <x v="3"/>
    <n v="14"/>
    <d v="2025-11-06T00:00:00"/>
    <d v="2025-11-10T00:00:00"/>
    <s v="Migraine &amp; Nerve Compression"/>
    <s v="Completed"/>
    <n v="44633.38"/>
    <n v="36153.040000000001"/>
    <n v="8480.34"/>
    <s v="Pending"/>
    <n v="4"/>
    <n v="0.81000004929046387"/>
    <n v="0.18999995070953624"/>
  </r>
  <r>
    <n v="10958"/>
    <s v="PAT-1028"/>
    <s v="Vikram Kumar"/>
    <s v="Male"/>
    <n v="18"/>
    <s v="Delhi"/>
    <s v="DOC-106"/>
    <s v="Dr. Neha Sharma"/>
    <x v="2"/>
    <n v="8"/>
    <d v="2025-12-06T00:00:00"/>
    <d v="2025-12-18T00:00:00"/>
    <s v="Cervical Spondylosis"/>
    <s v="Follow-up"/>
    <n v="32983.1"/>
    <n v="21109.18"/>
    <n v="11873.92"/>
    <s v="Paid"/>
    <n v="12"/>
    <n v="0.63999987872577169"/>
    <n v="0.36000012127422831"/>
  </r>
  <r>
    <n v="10959"/>
    <s v="PAT-1038"/>
    <s v="Rahul Kumar"/>
    <s v="Male"/>
    <n v="26"/>
    <s v="Hyderabad"/>
    <s v="DOC-101"/>
    <s v="Dr. Rajesh Khanna"/>
    <x v="0"/>
    <n v="15"/>
    <d v="2025-08-14T00:00:00"/>
    <d v="2025-08-25T00:00:00"/>
    <s v="Heart Failure Management"/>
    <s v="Completed"/>
    <n v="161455.10999999999"/>
    <n v="127549.54"/>
    <n v="33905.57"/>
    <s v="Paid"/>
    <n v="11"/>
    <n v="0.79000001920038332"/>
    <n v="0.20999998079961671"/>
  </r>
  <r>
    <n v="10960"/>
    <s v="PAT-1026"/>
    <s v="Manish Gupta"/>
    <s v="Female"/>
    <n v="47"/>
    <s v="Ghaziabad"/>
    <s v="DOC-101"/>
    <s v="Dr. Rajesh Khanna"/>
    <x v="0"/>
    <n v="15"/>
    <d v="2025-01-22T00:00:00"/>
    <d v="2025-01-25T00:00:00"/>
    <s v="Coronary Artery Disease"/>
    <s v="Completed"/>
    <n v="420786.42"/>
    <n v="290342.63"/>
    <n v="130443.79"/>
    <s v="Paid"/>
    <n v="3"/>
    <n v="0.69000000047530052"/>
    <n v="0.30999999952469948"/>
  </r>
  <r>
    <n v="10961"/>
    <s v="PAT-1020"/>
    <s v="Ritu Verma"/>
    <s v="Female"/>
    <n v="68"/>
    <s v="Gurgaon"/>
    <s v="DOC-107"/>
    <s v="Dr. Meera Nair"/>
    <x v="1"/>
    <n v="9"/>
    <d v="2025-04-27T00:00:00"/>
    <d v="2025-04-30T00:00:00"/>
    <s v="Typhoid &amp; Severe Dehydration"/>
    <s v="Follow-up"/>
    <n v="22475.48"/>
    <n v="15283.33"/>
    <n v="7192.15"/>
    <s v="Paid"/>
    <n v="3"/>
    <n v="0.68000016017455467"/>
    <n v="0.31999983982544533"/>
  </r>
  <r>
    <n v="10962"/>
    <s v="PAT-1027"/>
    <s v="Siddharth Verma"/>
    <s v="Female"/>
    <n v="33"/>
    <s v="Noida"/>
    <s v="DOC-108"/>
    <s v="Dr. Sanjay Gupta"/>
    <x v="1"/>
    <n v="11"/>
    <d v="2025-06-07T00:00:00"/>
    <d v="2025-06-18T00:00:00"/>
    <s v="Pneumonia Management"/>
    <s v="Completed"/>
    <n v="41595.22"/>
    <n v="25789.040000000001"/>
    <n v="15806.18"/>
    <s v="Pending"/>
    <n v="11"/>
    <n v="0.62000008654840633"/>
    <n v="0.37999991345159373"/>
  </r>
  <r>
    <n v="10963"/>
    <s v="PAT-1048"/>
    <s v="Pooja Verma"/>
    <s v="Female"/>
    <n v="39"/>
    <s v="Pune"/>
    <s v="DOC-106"/>
    <s v="Dr. Neha Sharma"/>
    <x v="2"/>
    <n v="8"/>
    <d v="2025-07-23T00:00:00"/>
    <d v="2025-08-06T00:00:00"/>
    <s v="Cervical Spondylosis"/>
    <s v="Completed"/>
    <n v="40206.6"/>
    <n v="32567.35"/>
    <n v="7639.25"/>
    <s v="Paid"/>
    <n v="14"/>
    <n v="0.81000009948615403"/>
    <n v="0.18999990051384599"/>
  </r>
  <r>
    <n v="10964"/>
    <s v="PAT-1025"/>
    <s v="Ananya Mehta"/>
    <s v="Female"/>
    <n v="23"/>
    <s v="Faridabad"/>
    <s v="DOC-105"/>
    <s v="Dr. Amit Kumar"/>
    <x v="2"/>
    <n v="10"/>
    <d v="2025-12-13T00:00:00"/>
    <d v="2025-12-17T00:00:00"/>
    <s v="Knee Replacement Surgery"/>
    <s v="Completed"/>
    <n v="178666.92"/>
    <n v="123280.17"/>
    <n v="55386.75"/>
    <s v="Paid"/>
    <n v="4"/>
    <n v="0.68999997313436634"/>
    <n v="0.31000002686563355"/>
  </r>
  <r>
    <n v="10965"/>
    <s v="PAT-1038"/>
    <s v="Rahul Kumar"/>
    <s v="Male"/>
    <n v="26"/>
    <s v="Hyderabad"/>
    <s v="DOC-101"/>
    <s v="Dr. Rajesh Khanna"/>
    <x v="0"/>
    <n v="15"/>
    <d v="2025-01-24T00:00:00"/>
    <d v="2025-02-05T00:00:00"/>
    <s v="Heart Failure Management"/>
    <s v="Follow-up"/>
    <n v="137433.29"/>
    <n v="96203.3"/>
    <n v="41229.99"/>
    <s v="Paid"/>
    <n v="12"/>
    <n v="0.69999997817122761"/>
    <n v="0.30000002182877233"/>
  </r>
  <r>
    <n v="10966"/>
    <s v="PAT-1042"/>
    <s v="Ananya Sharma"/>
    <s v="Female"/>
    <n v="65"/>
    <s v="Hyderabad"/>
    <s v="DOC-102"/>
    <s v="Dr. Alok Verma"/>
    <x v="0"/>
    <n v="12"/>
    <d v="2025-04-25T00:00:00"/>
    <d v="2025-04-30T00:00:00"/>
    <s v="Hypertension &amp; Arrhythmia"/>
    <s v="Completed"/>
    <n v="46982.080000000002"/>
    <n v="36176.199999999997"/>
    <n v="10805.88"/>
    <s v="Paid"/>
    <n v="5"/>
    <n v="0.76999996594446218"/>
    <n v="0.23000003405553773"/>
  </r>
  <r>
    <n v="10967"/>
    <s v="PAT-1014"/>
    <s v="Sneha Gupta"/>
    <s v="Male"/>
    <n v="45"/>
    <s v="Gurgaon"/>
    <s v="DOC-103"/>
    <s v="Dr. Sunita Kapoor"/>
    <x v="3"/>
    <n v="14"/>
    <d v="2025-08-27T00:00:00"/>
    <d v="2025-09-09T00:00:00"/>
    <s v="Migraine &amp; Nerve Compression"/>
    <s v="Completed"/>
    <n v="28438.07"/>
    <n v="20759.79"/>
    <n v="7678.28"/>
    <s v="Paid"/>
    <n v="13"/>
    <n v="0.72999996131945666"/>
    <n v="0.27000003868054334"/>
  </r>
  <r>
    <n v="10968"/>
    <s v="PAT-1021"/>
    <s v="Amit Gupta"/>
    <s v="Male"/>
    <n v="65"/>
    <s v="Pune"/>
    <s v="DOC-102"/>
    <s v="Dr. Alok Verma"/>
    <x v="0"/>
    <n v="12"/>
    <d v="2025-05-16T00:00:00"/>
    <d v="2025-05-24T00:00:00"/>
    <s v="Heart Failure Management"/>
    <s v="Completed"/>
    <n v="185655.98"/>
    <n v="155951.01999999999"/>
    <n v="29704.959999999999"/>
    <s v="Paid"/>
    <n v="8"/>
    <n v="0.83999998276381926"/>
    <n v="0.16000001723618057"/>
  </r>
  <r>
    <n v="10969"/>
    <s v="PAT-1017"/>
    <s v="Ritu Saxena"/>
    <s v="Female"/>
    <n v="73"/>
    <s v="Gurgaon"/>
    <s v="DOC-106"/>
    <s v="Dr. Neha Sharma"/>
    <x v="2"/>
    <n v="8"/>
    <d v="2025-02-08T00:00:00"/>
    <d v="2025-02-19T00:00:00"/>
    <s v="Knee Replacement Surgery"/>
    <s v="Completed"/>
    <n v="314069.53000000003"/>
    <n v="201004.5"/>
    <n v="113065.03"/>
    <s v="Pending"/>
    <n v="11"/>
    <n v="0.64000000254720657"/>
    <n v="0.35999999745279332"/>
  </r>
  <r>
    <n v="10970"/>
    <s v="PAT-1042"/>
    <s v="Ananya Sharma"/>
    <s v="Female"/>
    <n v="65"/>
    <s v="Hyderabad"/>
    <s v="DOC-106"/>
    <s v="Dr. Neha Sharma"/>
    <x v="2"/>
    <n v="8"/>
    <d v="2025-05-21T00:00:00"/>
    <d v="2025-05-25T00:00:00"/>
    <s v="Cervical Spondylosis"/>
    <s v="Completed"/>
    <n v="23726.98"/>
    <n v="15897.08"/>
    <n v="7829.9"/>
    <s v="Paid"/>
    <n v="4"/>
    <n v="0.67000014329678703"/>
    <n v="0.32999985670321297"/>
  </r>
  <r>
    <n v="10971"/>
    <s v="PAT-1040"/>
    <s v="Pooja Mehta"/>
    <s v="Male"/>
    <n v="74"/>
    <s v="Bangalore"/>
    <s v="DOC-103"/>
    <s v="Dr. Sunita Kapoor"/>
    <x v="3"/>
    <n v="14"/>
    <d v="2025-05-28T00:00:00"/>
    <d v="2025-06-10T00:00:00"/>
    <s v="Epilepsy Monitoring"/>
    <s v="Completed"/>
    <n v="63570.15"/>
    <n v="45770.51"/>
    <n v="17799.64"/>
    <s v="Pending"/>
    <n v="13"/>
    <n v="0.72000003146130698"/>
    <n v="0.27999996853869308"/>
  </r>
  <r>
    <n v="10972"/>
    <s v="PAT-1042"/>
    <s v="Ananya Sharma"/>
    <s v="Female"/>
    <n v="65"/>
    <s v="Hyderabad"/>
    <s v="DOC-107"/>
    <s v="Dr. Meera Nair"/>
    <x v="1"/>
    <n v="9"/>
    <d v="2025-03-15T00:00:00"/>
    <d v="2025-03-25T00:00:00"/>
    <s v="Acute Viral Fever &amp; Infection"/>
    <s v="Completed"/>
    <n v="19889"/>
    <n v="16706.759999999998"/>
    <n v="3182.24"/>
    <s v="Pending"/>
    <n v="10"/>
    <n v="0.84"/>
    <n v="0.15999999999999998"/>
  </r>
  <r>
    <n v="10973"/>
    <s v="PAT-1039"/>
    <s v="Rahul Saxena"/>
    <s v="Female"/>
    <n v="37"/>
    <s v="Faridabad"/>
    <s v="DOC-105"/>
    <s v="Dr. Amit Kumar"/>
    <x v="2"/>
    <n v="10"/>
    <d v="2025-02-06T00:00:00"/>
    <d v="2025-02-14T00:00:00"/>
    <s v="Ligament Tear Repair"/>
    <s v="Completed"/>
    <n v="131569.45000000001"/>
    <n v="85520.14"/>
    <n v="46049.31"/>
    <s v="Pending"/>
    <n v="8"/>
    <n v="0.64999998099862843"/>
    <n v="0.35000001900137145"/>
  </r>
  <r>
    <n v="10974"/>
    <s v="PAT-1036"/>
    <s v="Rohan Joshi"/>
    <s v="Male"/>
    <n v="41"/>
    <s v="Delhi"/>
    <s v="DOC-106"/>
    <s v="Dr. Neha Sharma"/>
    <x v="2"/>
    <n v="8"/>
    <d v="2025-05-17T00:00:00"/>
    <d v="2025-05-29T00:00:00"/>
    <s v="Ligament Tear Repair"/>
    <s v="Completed"/>
    <n v="87811.95"/>
    <n v="54443.41"/>
    <n v="33368.54"/>
    <s v="Paid"/>
    <n v="12"/>
    <n v="0.62000001138797178"/>
    <n v="0.37999998861202833"/>
  </r>
  <r>
    <n v="10975"/>
    <s v="PAT-1016"/>
    <s v="Manish Kumar"/>
    <s v="Female"/>
    <n v="28"/>
    <s v="Hyderabad"/>
    <s v="DOC-105"/>
    <s v="Dr. Amit Kumar"/>
    <x v="2"/>
    <n v="10"/>
    <d v="2025-06-15T00:00:00"/>
    <d v="2025-06-18T00:00:00"/>
    <s v="Cervical Spondylosis"/>
    <s v="Completed"/>
    <n v="44543.96"/>
    <n v="29844.45"/>
    <n v="14699.51"/>
    <s v="Pending"/>
    <n v="3"/>
    <n v="0.66999992816085507"/>
    <n v="0.33000007183914498"/>
  </r>
  <r>
    <n v="10976"/>
    <s v="PAT-1037"/>
    <s v="Kavya Kumar"/>
    <s v="Male"/>
    <n v="61"/>
    <s v="Mumbai"/>
    <s v="DOC-107"/>
    <s v="Dr. Meera Nair"/>
    <x v="1"/>
    <n v="9"/>
    <d v="2025-02-09T00:00:00"/>
    <d v="2025-02-22T00:00:00"/>
    <s v="Pneumonia Management"/>
    <s v="Completed"/>
    <n v="47861.4"/>
    <n v="38767.730000000003"/>
    <n v="9093.67"/>
    <s v="Paid"/>
    <n v="13"/>
    <n v="0.80999991642534486"/>
    <n v="0.19000008357465514"/>
  </r>
  <r>
    <n v="10977"/>
    <s v="PAT-1036"/>
    <s v="Rohan Joshi"/>
    <s v="Male"/>
    <n v="41"/>
    <s v="Delhi"/>
    <s v="DOC-102"/>
    <s v="Dr. Alok Verma"/>
    <x v="0"/>
    <n v="12"/>
    <d v="2025-12-02T00:00:00"/>
    <d v="2025-12-12T00:00:00"/>
    <s v="Coronary Artery Disease"/>
    <s v="Completed"/>
    <n v="394526.09"/>
    <n v="295894.57"/>
    <n v="98631.52"/>
    <s v="Pending"/>
    <n v="10"/>
    <n v="0.75000000633671648"/>
    <n v="0.24999999366328346"/>
  </r>
  <r>
    <n v="10978"/>
    <s v="PAT-1036"/>
    <s v="Rohan Joshi"/>
    <s v="Male"/>
    <n v="41"/>
    <s v="Delhi"/>
    <s v="DOC-104"/>
    <s v="Dr. Vikramaditya Rao"/>
    <x v="3"/>
    <n v="18"/>
    <d v="2025-03-30T00:00:00"/>
    <d v="2025-04-07T00:00:00"/>
    <s v="Epilepsy Monitoring"/>
    <s v="Completed"/>
    <n v="92905.51"/>
    <n v="76182.52"/>
    <n v="16722.990000000002"/>
    <s v="Pending"/>
    <n v="8"/>
    <n v="0.82000001937452371"/>
    <n v="0.1799999806254764"/>
  </r>
  <r>
    <n v="10979"/>
    <s v="PAT-1008"/>
    <s v="Priya Rao"/>
    <s v="Female"/>
    <n v="37"/>
    <s v="Ghaziabad"/>
    <s v="DOC-105"/>
    <s v="Dr. Amit Kumar"/>
    <x v="2"/>
    <n v="10"/>
    <d v="2025-12-07T00:00:00"/>
    <d v="2025-12-11T00:00:00"/>
    <s v="Knee Replacement Surgery"/>
    <s v="Follow-up"/>
    <n v="362362.43"/>
    <n v="279019.07"/>
    <n v="83343.360000000001"/>
    <s v="Paid"/>
    <n v="4"/>
    <n v="0.76999999696436527"/>
    <n v="0.23000000303563481"/>
  </r>
  <r>
    <n v="10980"/>
    <s v="PAT-1001"/>
    <s v="Sneha Singh"/>
    <s v="Female"/>
    <n v="47"/>
    <s v="Delhi"/>
    <s v="DOC-108"/>
    <s v="Dr. Sanjay Gupta"/>
    <x v="1"/>
    <n v="11"/>
    <d v="2025-08-30T00:00:00"/>
    <d v="2025-09-01T00:00:00"/>
    <s v="Pneumonia Management"/>
    <s v="Follow-up"/>
    <n v="48042.64"/>
    <n v="40355.82"/>
    <n v="7686.82"/>
    <s v="Paid"/>
    <n v="2"/>
    <n v="0.84000004995562272"/>
    <n v="0.15999995004437725"/>
  </r>
  <r>
    <n v="10981"/>
    <s v="PAT-1038"/>
    <s v="Rahul Kumar"/>
    <s v="Male"/>
    <n v="26"/>
    <s v="Hyderabad"/>
    <s v="DOC-104"/>
    <s v="Dr. Vikramaditya Rao"/>
    <x v="3"/>
    <n v="18"/>
    <d v="2025-10-28T00:00:00"/>
    <d v="2025-11-11T00:00:00"/>
    <s v="Migraine &amp; Nerve Compression"/>
    <s v="Completed"/>
    <n v="18181.919999999998"/>
    <n v="14000.08"/>
    <n v="4181.84"/>
    <s v="Paid"/>
    <n v="14"/>
    <n v="0.77000008799950725"/>
    <n v="0.22999991200049283"/>
  </r>
  <r>
    <n v="10982"/>
    <s v="PAT-1010"/>
    <s v="Siddharth Rao"/>
    <s v="Male"/>
    <n v="45"/>
    <s v="Noida"/>
    <s v="DOC-107"/>
    <s v="Dr. Meera Nair"/>
    <x v="1"/>
    <n v="9"/>
    <d v="2025-04-08T00:00:00"/>
    <d v="2025-04-16T00:00:00"/>
    <s v="Typhoid &amp; Severe Dehydration"/>
    <s v="Completed"/>
    <n v="20864.64"/>
    <n v="14813.89"/>
    <n v="6050.75"/>
    <s v="Paid"/>
    <n v="8"/>
    <n v="0.70999978911689821"/>
    <n v="0.29000021088310174"/>
  </r>
  <r>
    <n v="10983"/>
    <s v="PAT-1047"/>
    <s v="Aarav Nair"/>
    <s v="Female"/>
    <n v="56"/>
    <s v="Noida"/>
    <s v="DOC-102"/>
    <s v="Dr. Alok Verma"/>
    <x v="0"/>
    <n v="12"/>
    <d v="2025-05-13T00:00:00"/>
    <d v="2025-05-18T00:00:00"/>
    <s v="Hypertension &amp; Arrhythmia"/>
    <s v="Completed"/>
    <n v="49560.44"/>
    <n v="36674.730000000003"/>
    <n v="12885.71"/>
    <s v="Paid"/>
    <n v="5"/>
    <n v="0.74000008878048706"/>
    <n v="0.25999991121951294"/>
  </r>
  <r>
    <n v="10984"/>
    <s v="PAT-1009"/>
    <s v="Priya Kumar"/>
    <s v="Female"/>
    <n v="60"/>
    <s v="Faridabad"/>
    <s v="DOC-102"/>
    <s v="Dr. Alok Verma"/>
    <x v="0"/>
    <n v="12"/>
    <d v="2025-10-11T00:00:00"/>
    <d v="2025-10-13T00:00:00"/>
    <s v="Coronary Artery Disease"/>
    <s v="Completed"/>
    <n v="401294.29"/>
    <n v="256828.35"/>
    <n v="144465.94"/>
    <s v="Paid"/>
    <n v="2"/>
    <n v="0.64000001096452186"/>
    <n v="0.3599999890354782"/>
  </r>
  <r>
    <n v="10985"/>
    <s v="PAT-1045"/>
    <s v="Sneha Sharma"/>
    <s v="Male"/>
    <n v="44"/>
    <s v="Hyderabad"/>
    <s v="DOC-101"/>
    <s v="Dr. Rajesh Khanna"/>
    <x v="0"/>
    <n v="15"/>
    <d v="2025-03-19T00:00:00"/>
    <d v="2025-03-21T00:00:00"/>
    <s v="Coronary Artery Disease"/>
    <s v="Completed"/>
    <n v="168055.72"/>
    <n v="121000.12"/>
    <n v="47055.6"/>
    <s v="Paid"/>
    <n v="2"/>
    <n v="0.7200000095206518"/>
    <n v="0.27999999047934815"/>
  </r>
  <r>
    <n v="10986"/>
    <s v="PAT-1048"/>
    <s v="Pooja Verma"/>
    <s v="Female"/>
    <n v="39"/>
    <s v="Pune"/>
    <s v="DOC-105"/>
    <s v="Dr. Amit Kumar"/>
    <x v="2"/>
    <n v="10"/>
    <d v="2025-11-06T00:00:00"/>
    <d v="2025-11-20T00:00:00"/>
    <s v="Knee Replacement Surgery"/>
    <s v="Completed"/>
    <n v="199772.59"/>
    <n v="147831.72"/>
    <n v="51940.87"/>
    <s v="Paid"/>
    <n v="14"/>
    <n v="0.74000001701935192"/>
    <n v="0.25999998298064814"/>
  </r>
  <r>
    <n v="10987"/>
    <s v="PAT-1023"/>
    <s v="Neha Rao"/>
    <s v="Male"/>
    <n v="21"/>
    <s v="Pune"/>
    <s v="DOC-106"/>
    <s v="Dr. Neha Sharma"/>
    <x v="2"/>
    <n v="8"/>
    <d v="2025-11-01T00:00:00"/>
    <d v="2025-11-05T00:00:00"/>
    <s v="Ligament Tear Repair"/>
    <s v="Completed"/>
    <n v="96454.99"/>
    <n v="81022.19"/>
    <n v="15432.8"/>
    <s v="Paid"/>
    <n v="4"/>
    <n v="0.83999998341195203"/>
    <n v="0.16000001658804794"/>
  </r>
  <r>
    <n v="10988"/>
    <s v="PAT-1043"/>
    <s v="Kavya Kumar"/>
    <s v="Male"/>
    <n v="35"/>
    <s v="Pune"/>
    <s v="DOC-105"/>
    <s v="Dr. Amit Kumar"/>
    <x v="2"/>
    <n v="10"/>
    <d v="2025-05-21T00:00:00"/>
    <d v="2025-05-27T00:00:00"/>
    <s v="Cervical Spondylosis"/>
    <s v="Follow-up"/>
    <n v="20393.45"/>
    <n v="13255.74"/>
    <n v="7137.71"/>
    <s v="Paid"/>
    <n v="6"/>
    <n v="0.64999987741161991"/>
    <n v="0.35000012258838009"/>
  </r>
  <r>
    <n v="10989"/>
    <s v="PAT-1016"/>
    <s v="Manish Kumar"/>
    <s v="Female"/>
    <n v="28"/>
    <s v="Hyderabad"/>
    <s v="DOC-104"/>
    <s v="Dr. Vikramaditya Rao"/>
    <x v="3"/>
    <n v="18"/>
    <d v="2025-06-13T00:00:00"/>
    <d v="2025-06-20T00:00:00"/>
    <s v="Acute Ischemic Stroke"/>
    <s v="Completed"/>
    <n v="120876.98"/>
    <n v="87031.43"/>
    <n v="33845.550000000003"/>
    <s v="Paid"/>
    <n v="7"/>
    <n v="0.72000003640064469"/>
    <n v="0.27999996359935536"/>
  </r>
  <r>
    <n v="10990"/>
    <s v="PAT-1023"/>
    <s v="Neha Rao"/>
    <s v="Male"/>
    <n v="21"/>
    <s v="Pune"/>
    <s v="DOC-107"/>
    <s v="Dr. Meera Nair"/>
    <x v="1"/>
    <n v="9"/>
    <d v="2025-01-04T00:00:00"/>
    <d v="2025-01-07T00:00:00"/>
    <s v="Acute Viral Fever &amp; Infection"/>
    <s v="Follow-up"/>
    <n v="17468.330000000002"/>
    <n v="12577.2"/>
    <n v="4891.13"/>
    <s v="Paid"/>
    <n v="3"/>
    <n v="0.72000013739149649"/>
    <n v="0.27999986260850346"/>
  </r>
  <r>
    <n v="10991"/>
    <s v="PAT-1013"/>
    <s v="Neha Nair"/>
    <s v="Female"/>
    <n v="18"/>
    <s v="Faridabad"/>
    <s v="DOC-104"/>
    <s v="Dr. Vikramaditya Rao"/>
    <x v="3"/>
    <n v="18"/>
    <d v="2025-07-11T00:00:00"/>
    <d v="2025-07-14T00:00:00"/>
    <s v="Migraine &amp; Nerve Compression"/>
    <s v="Completed"/>
    <n v="37312.720000000001"/>
    <n v="24626.400000000001"/>
    <n v="12686.32"/>
    <s v="Pending"/>
    <n v="3"/>
    <n v="0.66000012864245761"/>
    <n v="0.33999987135754239"/>
  </r>
  <r>
    <n v="10992"/>
    <s v="PAT-1028"/>
    <s v="Vikram Kumar"/>
    <s v="Male"/>
    <n v="18"/>
    <s v="Delhi"/>
    <s v="DOC-108"/>
    <s v="Dr. Sanjay Gupta"/>
    <x v="1"/>
    <n v="11"/>
    <d v="2025-05-29T00:00:00"/>
    <d v="2025-06-06T00:00:00"/>
    <s v="Acute Viral Fever &amp; Infection"/>
    <s v="Completed"/>
    <n v="17014.87"/>
    <n v="10719.37"/>
    <n v="6295.5"/>
    <s v="Paid"/>
    <n v="8"/>
    <n v="0.63000011166703018"/>
    <n v="0.36999988833296993"/>
  </r>
  <r>
    <n v="10993"/>
    <s v="PAT-1005"/>
    <s v="Rohan Verma"/>
    <s v="Female"/>
    <n v="67"/>
    <s v="Pune"/>
    <s v="DOC-103"/>
    <s v="Dr. Sunita Kapoor"/>
    <x v="3"/>
    <n v="14"/>
    <d v="2025-02-12T00:00:00"/>
    <d v="2025-02-16T00:00:00"/>
    <s v="Acute Ischemic Stroke"/>
    <s v="Follow-up"/>
    <n v="183771.51"/>
    <n v="135990.92000000001"/>
    <n v="47780.59"/>
    <s v="Pending"/>
    <n v="4"/>
    <n v="0.74000001414800376"/>
    <n v="0.2599999858519963"/>
  </r>
  <r>
    <n v="10994"/>
    <s v="PAT-1048"/>
    <s v="Pooja Verma"/>
    <s v="Female"/>
    <n v="39"/>
    <s v="Pune"/>
    <s v="DOC-105"/>
    <s v="Dr. Amit Kumar"/>
    <x v="2"/>
    <n v="10"/>
    <d v="2025-02-25T00:00:00"/>
    <d v="2025-03-07T00:00:00"/>
    <s v="Knee Replacement Surgery"/>
    <s v="Completed"/>
    <n v="190719.97"/>
    <n v="123967.98"/>
    <n v="66751.990000000005"/>
    <s v="Paid"/>
    <n v="10"/>
    <n v="0.64999999737835523"/>
    <n v="0.35000000262164471"/>
  </r>
  <r>
    <n v="10995"/>
    <s v="PAT-1009"/>
    <s v="Priya Kumar"/>
    <s v="Female"/>
    <n v="60"/>
    <s v="Faridabad"/>
    <s v="DOC-105"/>
    <s v="Dr. Amit Kumar"/>
    <x v="2"/>
    <n v="10"/>
    <d v="2025-05-24T00:00:00"/>
    <d v="2025-05-27T00:00:00"/>
    <s v="Knee Replacement Surgery"/>
    <s v="Completed"/>
    <n v="257887.31"/>
    <n v="167626.75"/>
    <n v="90260.56"/>
    <s v="Paid"/>
    <n v="3"/>
    <n v="0.64999999418350596"/>
    <n v="0.35000000581649404"/>
  </r>
  <r>
    <n v="10996"/>
    <s v="PAT-1031"/>
    <s v="Kavya Kumar"/>
    <s v="Male"/>
    <n v="53"/>
    <s v="Jaipur"/>
    <s v="DOC-107"/>
    <s v="Dr. Meera Nair"/>
    <x v="1"/>
    <n v="9"/>
    <d v="2025-03-23T00:00:00"/>
    <d v="2025-03-26T00:00:00"/>
    <s v="Typhoid &amp; Severe Dehydration"/>
    <s v="Completed"/>
    <n v="13197.26"/>
    <n v="10821.75"/>
    <n v="2375.5100000000002"/>
    <s v="Pending"/>
    <n v="3"/>
    <n v="0.81999975752542575"/>
    <n v="0.18000024247457427"/>
  </r>
  <r>
    <n v="10997"/>
    <s v="PAT-1047"/>
    <s v="Aarav Nair"/>
    <s v="Female"/>
    <n v="56"/>
    <s v="Noida"/>
    <s v="DOC-108"/>
    <s v="Dr. Sanjay Gupta"/>
    <x v="1"/>
    <n v="11"/>
    <d v="2025-03-02T00:00:00"/>
    <d v="2025-03-09T00:00:00"/>
    <s v="Typhoid &amp; Severe Dehydration"/>
    <s v="Follow-up"/>
    <n v="21514.74"/>
    <n v="16781.5"/>
    <n v="4733.24"/>
    <s v="Pending"/>
    <n v="7"/>
    <n v="0.78000013014333425"/>
    <n v="0.21999986985666567"/>
  </r>
  <r>
    <n v="10998"/>
    <s v="PAT-1017"/>
    <s v="Ritu Saxena"/>
    <s v="Female"/>
    <n v="73"/>
    <s v="Gurgaon"/>
    <s v="DOC-105"/>
    <s v="Dr. Amit Kumar"/>
    <x v="2"/>
    <n v="10"/>
    <d v="2025-06-02T00:00:00"/>
    <d v="2025-06-16T00:00:00"/>
    <s v="Ligament Tear Repair"/>
    <s v="Completed"/>
    <n v="106922.93"/>
    <n v="68430.679999999993"/>
    <n v="38492.25"/>
    <s v="Pending"/>
    <n v="14"/>
    <n v="0.64000004489214801"/>
    <n v="0.35999995510785199"/>
  </r>
  <r>
    <n v="10999"/>
    <s v="PAT-1016"/>
    <s v="Manish Kumar"/>
    <s v="Female"/>
    <n v="28"/>
    <s v="Hyderabad"/>
    <s v="DOC-105"/>
    <s v="Dr. Amit Kumar"/>
    <x v="2"/>
    <n v="10"/>
    <d v="2025-11-01T00:00:00"/>
    <d v="2025-11-03T00:00:00"/>
    <s v="Knee Replacement Surgery"/>
    <s v="Follow-up"/>
    <n v="362489.64"/>
    <n v="231993.37"/>
    <n v="130496.27"/>
    <s v="Paid"/>
    <n v="2"/>
    <n v="0.64000000110347977"/>
    <n v="0.35999999889652018"/>
  </r>
  <r>
    <n v="11000"/>
    <s v="PAT-1040"/>
    <s v="Pooja Mehta"/>
    <s v="Male"/>
    <n v="74"/>
    <s v="Bangalore"/>
    <s v="DOC-107"/>
    <s v="Dr. Meera Nair"/>
    <x v="1"/>
    <n v="9"/>
    <d v="2025-02-13T00:00:00"/>
    <d v="2025-02-20T00:00:00"/>
    <s v="Pneumonia Management"/>
    <s v="Follow-up"/>
    <n v="57972.07"/>
    <n v="41739.89"/>
    <n v="16232.18"/>
    <s v="Pending"/>
    <n v="7"/>
    <n v="0.71999999310012563"/>
    <n v="0.28000000689987437"/>
  </r>
  <r>
    <m/>
    <m/>
    <m/>
    <m/>
    <m/>
    <m/>
    <m/>
    <m/>
    <x v="4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B9B9BF-8A90-4B77-9ED8-62B8013E50E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dataField="1"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reatment_Cost" fld="14" baseField="0" baseItem="0"/>
    <dataField name="Sum of Length_of_staydays" fld="18" baseField="0" baseItem="0"/>
    <dataField name="Sum of Insurance_Covered" fld="15" baseField="0" baseItem="0"/>
    <dataField name="Sum of Out_Of_Pocke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A6E86-11C1-4341-A58A-AB88EAC811D7}">
  <dimension ref="A3:E9"/>
  <sheetViews>
    <sheetView workbookViewId="0">
      <selection activeCell="A3" sqref="A3"/>
    </sheetView>
  </sheetViews>
  <sheetFormatPr defaultRowHeight="14.4" x14ac:dyDescent="0.3"/>
  <cols>
    <col min="1" max="1" width="15.33203125" bestFit="1" customWidth="1"/>
    <col min="2" max="2" width="21.109375" bestFit="1" customWidth="1"/>
    <col min="3" max="3" width="24.6640625" bestFit="1" customWidth="1"/>
    <col min="4" max="4" width="24" bestFit="1" customWidth="1"/>
    <col min="5" max="5" width="20.5546875" bestFit="1" customWidth="1"/>
  </cols>
  <sheetData>
    <row r="3" spans="1:5" x14ac:dyDescent="0.3">
      <c r="A3" s="3" t="s">
        <v>166</v>
      </c>
      <c r="B3" t="s">
        <v>169</v>
      </c>
      <c r="C3" t="s">
        <v>170</v>
      </c>
      <c r="D3" t="s">
        <v>171</v>
      </c>
      <c r="E3" t="s">
        <v>172</v>
      </c>
    </row>
    <row r="4" spans="1:5" x14ac:dyDescent="0.3">
      <c r="A4" s="4" t="s">
        <v>24</v>
      </c>
      <c r="B4">
        <v>40166826.289999984</v>
      </c>
      <c r="C4">
        <v>2059</v>
      </c>
      <c r="D4">
        <v>29045582.710000012</v>
      </c>
      <c r="E4">
        <v>11121243.579999998</v>
      </c>
    </row>
    <row r="5" spans="1:5" x14ac:dyDescent="0.3">
      <c r="A5" s="4" t="s">
        <v>43</v>
      </c>
      <c r="B5">
        <v>7289681.2199999997</v>
      </c>
      <c r="C5">
        <v>1861</v>
      </c>
      <c r="D5">
        <v>5237834.1000000015</v>
      </c>
      <c r="E5">
        <v>2051847.1199999994</v>
      </c>
    </row>
    <row r="6" spans="1:5" x14ac:dyDescent="0.3">
      <c r="A6" s="4" t="s">
        <v>62</v>
      </c>
      <c r="B6">
        <v>24987153.940000001</v>
      </c>
      <c r="C6">
        <v>2049</v>
      </c>
      <c r="D6">
        <v>18219466.269999996</v>
      </c>
      <c r="E6">
        <v>6767687.6700000009</v>
      </c>
    </row>
    <row r="7" spans="1:5" x14ac:dyDescent="0.3">
      <c r="A7" s="4" t="s">
        <v>49</v>
      </c>
      <c r="B7">
        <v>38163561.350000024</v>
      </c>
      <c r="C7">
        <v>2310</v>
      </c>
      <c r="D7">
        <v>27165473.140000012</v>
      </c>
      <c r="E7">
        <v>10998088.209999999</v>
      </c>
    </row>
    <row r="8" spans="1:5" x14ac:dyDescent="0.3">
      <c r="A8" s="4" t="s">
        <v>167</v>
      </c>
    </row>
    <row r="9" spans="1:5" x14ac:dyDescent="0.3">
      <c r="A9" s="4" t="s">
        <v>168</v>
      </c>
      <c r="B9">
        <v>110607222.80000001</v>
      </c>
      <c r="C9">
        <v>8279</v>
      </c>
      <c r="D9">
        <v>79668356.220000029</v>
      </c>
      <c r="E9">
        <v>30938866.579999998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44073-8A3D-4E20-B17F-3068566DF36B}">
  <dimension ref="A1:V1001"/>
  <sheetViews>
    <sheetView tabSelected="1" topLeftCell="J1" workbookViewId="0">
      <selection activeCell="S1" sqref="S1"/>
    </sheetView>
  </sheetViews>
  <sheetFormatPr defaultRowHeight="14.4" x14ac:dyDescent="0.3"/>
  <cols>
    <col min="1" max="1" width="14.44140625" bestFit="1" customWidth="1"/>
    <col min="2" max="2" width="9.5546875" bestFit="1" customWidth="1"/>
    <col min="3" max="3" width="12.6640625" bestFit="1" customWidth="1"/>
    <col min="4" max="4" width="6.88671875" bestFit="1" customWidth="1"/>
    <col min="5" max="5" width="4" bestFit="1" customWidth="1"/>
    <col min="6" max="6" width="4.109375" bestFit="1" customWidth="1"/>
    <col min="7" max="7" width="9.44140625" bestFit="1" customWidth="1"/>
    <col min="8" max="8" width="12.5546875" bestFit="1" customWidth="1"/>
    <col min="9" max="9" width="10.77734375" bestFit="1" customWidth="1"/>
    <col min="10" max="10" width="22.33203125" bestFit="1" customWidth="1"/>
    <col min="11" max="11" width="14.21875" bestFit="1" customWidth="1"/>
    <col min="12" max="12" width="13.88671875" bestFit="1" customWidth="1"/>
    <col min="13" max="13" width="26.6640625" bestFit="1" customWidth="1"/>
    <col min="14" max="14" width="17.77734375" bestFit="1" customWidth="1"/>
    <col min="15" max="15" width="14.33203125" bestFit="1" customWidth="1"/>
    <col min="16" max="16" width="16.77734375" bestFit="1" customWidth="1"/>
    <col min="17" max="17" width="13.6640625" bestFit="1" customWidth="1"/>
    <col min="18" max="18" width="14.21875" bestFit="1" customWidth="1"/>
    <col min="19" max="19" width="17.44140625" bestFit="1" customWidth="1"/>
    <col min="20" max="20" width="18" bestFit="1" customWidth="1"/>
    <col min="21" max="21" width="15.777343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163</v>
      </c>
      <c r="T1" t="s">
        <v>164</v>
      </c>
      <c r="U1" t="s">
        <v>165</v>
      </c>
    </row>
    <row r="2" spans="1:22" x14ac:dyDescent="0.3">
      <c r="A2">
        <v>10001</v>
      </c>
      <c r="B2" t="s">
        <v>18</v>
      </c>
      <c r="C2" t="s">
        <v>19</v>
      </c>
      <c r="D2" t="s">
        <v>20</v>
      </c>
      <c r="E2">
        <v>45</v>
      </c>
      <c r="F2" t="s">
        <v>21</v>
      </c>
      <c r="G2" t="s">
        <v>22</v>
      </c>
      <c r="H2" t="s">
        <v>23</v>
      </c>
      <c r="I2" t="s">
        <v>24</v>
      </c>
      <c r="J2">
        <v>15</v>
      </c>
      <c r="K2" s="1">
        <v>45958</v>
      </c>
      <c r="L2" s="1">
        <v>45972</v>
      </c>
      <c r="M2" t="s">
        <v>25</v>
      </c>
      <c r="N2" t="s">
        <v>26</v>
      </c>
      <c r="O2">
        <v>112689.03</v>
      </c>
      <c r="P2">
        <v>72120.98</v>
      </c>
      <c r="Q2">
        <v>40568.050000000003</v>
      </c>
      <c r="R2" t="s">
        <v>27</v>
      </c>
      <c r="S2">
        <f>L2-K2</f>
        <v>14</v>
      </c>
      <c r="T2" s="2">
        <f>P2/O2</f>
        <v>0.64000000709918259</v>
      </c>
      <c r="U2" s="2">
        <f>Q2/O2</f>
        <v>0.35999999290081741</v>
      </c>
      <c r="V2" s="2"/>
    </row>
    <row r="3" spans="1:22" x14ac:dyDescent="0.3">
      <c r="A3">
        <v>10002</v>
      </c>
      <c r="B3" t="s">
        <v>28</v>
      </c>
      <c r="C3" t="s">
        <v>29</v>
      </c>
      <c r="D3" t="s">
        <v>30</v>
      </c>
      <c r="E3">
        <v>60</v>
      </c>
      <c r="F3" t="s">
        <v>31</v>
      </c>
      <c r="G3" t="s">
        <v>22</v>
      </c>
      <c r="H3" t="s">
        <v>23</v>
      </c>
      <c r="I3" t="s">
        <v>24</v>
      </c>
      <c r="J3">
        <v>15</v>
      </c>
      <c r="K3" s="1">
        <v>46007</v>
      </c>
      <c r="L3" s="1">
        <v>46017</v>
      </c>
      <c r="M3" t="s">
        <v>25</v>
      </c>
      <c r="N3" t="s">
        <v>26</v>
      </c>
      <c r="O3">
        <v>240119.32</v>
      </c>
      <c r="P3">
        <v>192095.46</v>
      </c>
      <c r="Q3">
        <v>48023.86</v>
      </c>
      <c r="R3" t="s">
        <v>32</v>
      </c>
      <c r="S3">
        <f t="shared" ref="S3:S66" si="0">L3-K3</f>
        <v>10</v>
      </c>
      <c r="T3" s="2">
        <f t="shared" ref="T3:T66" si="1">P3/O3</f>
        <v>0.80000001665838461</v>
      </c>
      <c r="U3" s="2">
        <f t="shared" ref="U3:U66" si="2">Q3/O3</f>
        <v>0.19999998334161531</v>
      </c>
    </row>
    <row r="4" spans="1:22" x14ac:dyDescent="0.3">
      <c r="A4">
        <v>10003</v>
      </c>
      <c r="B4" t="s">
        <v>33</v>
      </c>
      <c r="C4" t="s">
        <v>34</v>
      </c>
      <c r="D4" t="s">
        <v>20</v>
      </c>
      <c r="E4">
        <v>26</v>
      </c>
      <c r="F4" t="s">
        <v>35</v>
      </c>
      <c r="G4" t="s">
        <v>36</v>
      </c>
      <c r="H4" t="s">
        <v>37</v>
      </c>
      <c r="I4" t="s">
        <v>24</v>
      </c>
      <c r="J4">
        <v>12</v>
      </c>
      <c r="K4" s="1">
        <v>45904</v>
      </c>
      <c r="L4" s="1">
        <v>45908</v>
      </c>
      <c r="M4" t="s">
        <v>25</v>
      </c>
      <c r="N4" t="s">
        <v>26</v>
      </c>
      <c r="O4">
        <v>233647.73</v>
      </c>
      <c r="P4">
        <v>172899.32</v>
      </c>
      <c r="Q4">
        <v>60748.41</v>
      </c>
      <c r="R4" t="s">
        <v>32</v>
      </c>
      <c r="S4">
        <f t="shared" si="0"/>
        <v>4</v>
      </c>
      <c r="T4" s="2">
        <f t="shared" si="1"/>
        <v>0.73999999914401049</v>
      </c>
      <c r="U4" s="2">
        <f t="shared" si="2"/>
        <v>0.26000000085598951</v>
      </c>
    </row>
    <row r="5" spans="1:22" x14ac:dyDescent="0.3">
      <c r="A5">
        <v>10004</v>
      </c>
      <c r="B5" t="s">
        <v>38</v>
      </c>
      <c r="C5" t="s">
        <v>39</v>
      </c>
      <c r="D5" t="s">
        <v>30</v>
      </c>
      <c r="E5">
        <v>62</v>
      </c>
      <c r="F5" t="s">
        <v>40</v>
      </c>
      <c r="G5" t="s">
        <v>41</v>
      </c>
      <c r="H5" t="s">
        <v>42</v>
      </c>
      <c r="I5" t="s">
        <v>43</v>
      </c>
      <c r="J5">
        <v>9</v>
      </c>
      <c r="K5" s="1">
        <v>45688</v>
      </c>
      <c r="L5" s="1">
        <v>45691</v>
      </c>
      <c r="M5" t="s">
        <v>44</v>
      </c>
      <c r="N5" t="s">
        <v>26</v>
      </c>
      <c r="O5">
        <v>21267.040000000001</v>
      </c>
      <c r="P5">
        <v>13398.24</v>
      </c>
      <c r="Q5">
        <v>7868.8</v>
      </c>
      <c r="R5" t="s">
        <v>32</v>
      </c>
      <c r="S5">
        <f t="shared" si="0"/>
        <v>3</v>
      </c>
      <c r="T5" s="2">
        <f t="shared" si="1"/>
        <v>0.63000022570136693</v>
      </c>
      <c r="U5" s="2">
        <f t="shared" si="2"/>
        <v>0.36999977429863301</v>
      </c>
    </row>
    <row r="6" spans="1:22" x14ac:dyDescent="0.3">
      <c r="A6">
        <v>10005</v>
      </c>
      <c r="B6" t="s">
        <v>45</v>
      </c>
      <c r="C6" t="s">
        <v>46</v>
      </c>
      <c r="D6" t="s">
        <v>30</v>
      </c>
      <c r="E6">
        <v>45</v>
      </c>
      <c r="F6" t="s">
        <v>40</v>
      </c>
      <c r="G6" t="s">
        <v>47</v>
      </c>
      <c r="H6" t="s">
        <v>48</v>
      </c>
      <c r="I6" t="s">
        <v>49</v>
      </c>
      <c r="J6">
        <v>8</v>
      </c>
      <c r="K6" s="1">
        <v>45993</v>
      </c>
      <c r="L6" s="1">
        <v>46003</v>
      </c>
      <c r="M6" t="s">
        <v>50</v>
      </c>
      <c r="N6" t="s">
        <v>51</v>
      </c>
      <c r="O6">
        <v>188129.33</v>
      </c>
      <c r="P6">
        <v>152384.76</v>
      </c>
      <c r="Q6">
        <v>35744.57</v>
      </c>
      <c r="R6" t="s">
        <v>32</v>
      </c>
      <c r="S6">
        <f t="shared" si="0"/>
        <v>10</v>
      </c>
      <c r="T6" s="2">
        <f t="shared" si="1"/>
        <v>0.81000001435182922</v>
      </c>
      <c r="U6" s="2">
        <f t="shared" si="2"/>
        <v>0.18999998564817086</v>
      </c>
    </row>
    <row r="7" spans="1:22" x14ac:dyDescent="0.3">
      <c r="A7">
        <v>10006</v>
      </c>
      <c r="B7" t="s">
        <v>52</v>
      </c>
      <c r="C7" t="s">
        <v>53</v>
      </c>
      <c r="D7" t="s">
        <v>20</v>
      </c>
      <c r="E7">
        <v>49</v>
      </c>
      <c r="F7" t="s">
        <v>54</v>
      </c>
      <c r="G7" t="s">
        <v>55</v>
      </c>
      <c r="H7" t="s">
        <v>56</v>
      </c>
      <c r="I7" t="s">
        <v>49</v>
      </c>
      <c r="J7">
        <v>10</v>
      </c>
      <c r="K7" s="1">
        <v>45898</v>
      </c>
      <c r="L7" s="1">
        <v>45903</v>
      </c>
      <c r="M7" t="s">
        <v>50</v>
      </c>
      <c r="N7" t="s">
        <v>26</v>
      </c>
      <c r="O7">
        <v>220128.54</v>
      </c>
      <c r="P7">
        <v>180505.4</v>
      </c>
      <c r="Q7">
        <v>39623.14</v>
      </c>
      <c r="R7" t="s">
        <v>27</v>
      </c>
      <c r="S7">
        <f t="shared" si="0"/>
        <v>5</v>
      </c>
      <c r="T7" s="2">
        <f t="shared" si="1"/>
        <v>0.8199999872801591</v>
      </c>
      <c r="U7" s="2">
        <f t="shared" si="2"/>
        <v>0.18000001271984087</v>
      </c>
    </row>
    <row r="8" spans="1:22" x14ac:dyDescent="0.3">
      <c r="A8">
        <v>10007</v>
      </c>
      <c r="B8" t="s">
        <v>57</v>
      </c>
      <c r="C8" t="s">
        <v>58</v>
      </c>
      <c r="D8" t="s">
        <v>20</v>
      </c>
      <c r="E8">
        <v>45</v>
      </c>
      <c r="F8" t="s">
        <v>59</v>
      </c>
      <c r="G8" t="s">
        <v>60</v>
      </c>
      <c r="H8" t="s">
        <v>61</v>
      </c>
      <c r="I8" t="s">
        <v>62</v>
      </c>
      <c r="J8">
        <v>18</v>
      </c>
      <c r="K8" s="1">
        <v>45798</v>
      </c>
      <c r="L8" s="1">
        <v>45812</v>
      </c>
      <c r="M8" t="s">
        <v>63</v>
      </c>
      <c r="N8" t="s">
        <v>26</v>
      </c>
      <c r="O8">
        <v>29607.53</v>
      </c>
      <c r="P8">
        <v>19244.89</v>
      </c>
      <c r="Q8">
        <v>10362.64</v>
      </c>
      <c r="R8" t="s">
        <v>32</v>
      </c>
      <c r="S8">
        <f t="shared" si="0"/>
        <v>14</v>
      </c>
      <c r="T8" s="2">
        <f t="shared" si="1"/>
        <v>0.64999984801163757</v>
      </c>
      <c r="U8" s="2">
        <f t="shared" si="2"/>
        <v>0.35000015198836243</v>
      </c>
    </row>
    <row r="9" spans="1:22" x14ac:dyDescent="0.3">
      <c r="A9">
        <v>10008</v>
      </c>
      <c r="B9" t="s">
        <v>64</v>
      </c>
      <c r="C9" t="s">
        <v>65</v>
      </c>
      <c r="D9" t="s">
        <v>20</v>
      </c>
      <c r="E9">
        <v>27</v>
      </c>
      <c r="F9" t="s">
        <v>31</v>
      </c>
      <c r="G9" t="s">
        <v>22</v>
      </c>
      <c r="H9" t="s">
        <v>23</v>
      </c>
      <c r="I9" t="s">
        <v>24</v>
      </c>
      <c r="J9">
        <v>15</v>
      </c>
      <c r="K9" s="1">
        <v>45850</v>
      </c>
      <c r="L9" s="1">
        <v>45854</v>
      </c>
      <c r="M9" t="s">
        <v>66</v>
      </c>
      <c r="N9" t="s">
        <v>26</v>
      </c>
      <c r="O9">
        <v>56541.06</v>
      </c>
      <c r="P9">
        <v>34490.050000000003</v>
      </c>
      <c r="Q9">
        <v>22051.01</v>
      </c>
      <c r="R9" t="s">
        <v>32</v>
      </c>
      <c r="S9">
        <f t="shared" si="0"/>
        <v>4</v>
      </c>
      <c r="T9" s="2">
        <f t="shared" si="1"/>
        <v>0.61000006013329078</v>
      </c>
      <c r="U9" s="2">
        <f t="shared" si="2"/>
        <v>0.38999993986670922</v>
      </c>
    </row>
    <row r="10" spans="1:22" x14ac:dyDescent="0.3">
      <c r="A10">
        <v>10009</v>
      </c>
      <c r="B10" t="s">
        <v>67</v>
      </c>
      <c r="C10" t="s">
        <v>68</v>
      </c>
      <c r="D10" t="s">
        <v>20</v>
      </c>
      <c r="E10">
        <v>33</v>
      </c>
      <c r="F10" t="s">
        <v>69</v>
      </c>
      <c r="G10" t="s">
        <v>70</v>
      </c>
      <c r="H10" t="s">
        <v>71</v>
      </c>
      <c r="I10" t="s">
        <v>43</v>
      </c>
      <c r="J10">
        <v>11</v>
      </c>
      <c r="K10" s="1">
        <v>45748</v>
      </c>
      <c r="L10" s="1">
        <v>45760</v>
      </c>
      <c r="M10" t="s">
        <v>72</v>
      </c>
      <c r="N10" t="s">
        <v>26</v>
      </c>
      <c r="O10">
        <v>15706.09</v>
      </c>
      <c r="P10">
        <v>10680.14</v>
      </c>
      <c r="Q10">
        <v>5025.95</v>
      </c>
      <c r="R10" t="s">
        <v>32</v>
      </c>
      <c r="S10">
        <f t="shared" si="0"/>
        <v>12</v>
      </c>
      <c r="T10" s="2">
        <f t="shared" si="1"/>
        <v>0.67999992359651573</v>
      </c>
      <c r="U10" s="2">
        <f t="shared" si="2"/>
        <v>0.32000007640348421</v>
      </c>
    </row>
    <row r="11" spans="1:22" x14ac:dyDescent="0.3">
      <c r="A11">
        <v>10010</v>
      </c>
      <c r="B11" t="s">
        <v>73</v>
      </c>
      <c r="C11" t="s">
        <v>74</v>
      </c>
      <c r="D11" t="s">
        <v>20</v>
      </c>
      <c r="E11">
        <v>53</v>
      </c>
      <c r="F11" t="s">
        <v>75</v>
      </c>
      <c r="G11" t="s">
        <v>36</v>
      </c>
      <c r="H11" t="s">
        <v>37</v>
      </c>
      <c r="I11" t="s">
        <v>24</v>
      </c>
      <c r="J11">
        <v>12</v>
      </c>
      <c r="K11" s="1">
        <v>45852</v>
      </c>
      <c r="L11" s="1">
        <v>45856</v>
      </c>
      <c r="M11" t="s">
        <v>76</v>
      </c>
      <c r="N11" t="s">
        <v>51</v>
      </c>
      <c r="O11">
        <v>236812.63</v>
      </c>
      <c r="P11">
        <v>156296.34</v>
      </c>
      <c r="Q11">
        <v>80516.289999999994</v>
      </c>
      <c r="R11" t="s">
        <v>27</v>
      </c>
      <c r="S11">
        <f t="shared" si="0"/>
        <v>4</v>
      </c>
      <c r="T11" s="2">
        <f t="shared" si="1"/>
        <v>0.66000001773554051</v>
      </c>
      <c r="U11" s="2">
        <f t="shared" si="2"/>
        <v>0.33999998226445943</v>
      </c>
    </row>
    <row r="12" spans="1:22" x14ac:dyDescent="0.3">
      <c r="A12">
        <v>10011</v>
      </c>
      <c r="B12" t="s">
        <v>45</v>
      </c>
      <c r="C12" t="s">
        <v>46</v>
      </c>
      <c r="D12" t="s">
        <v>30</v>
      </c>
      <c r="E12">
        <v>45</v>
      </c>
      <c r="F12" t="s">
        <v>40</v>
      </c>
      <c r="G12" t="s">
        <v>60</v>
      </c>
      <c r="H12" t="s">
        <v>61</v>
      </c>
      <c r="I12" t="s">
        <v>62</v>
      </c>
      <c r="J12">
        <v>18</v>
      </c>
      <c r="K12" s="1">
        <v>45882</v>
      </c>
      <c r="L12" s="1">
        <v>45888</v>
      </c>
      <c r="M12" t="s">
        <v>77</v>
      </c>
      <c r="N12" t="s">
        <v>26</v>
      </c>
      <c r="O12">
        <v>72972.509999999995</v>
      </c>
      <c r="P12">
        <v>57648.28</v>
      </c>
      <c r="Q12">
        <v>15324.23</v>
      </c>
      <c r="R12" t="s">
        <v>32</v>
      </c>
      <c r="S12">
        <f t="shared" si="0"/>
        <v>6</v>
      </c>
      <c r="T12" s="2">
        <f t="shared" si="1"/>
        <v>0.78999996025900721</v>
      </c>
      <c r="U12" s="2">
        <f t="shared" si="2"/>
        <v>0.21000003974099288</v>
      </c>
    </row>
    <row r="13" spans="1:22" x14ac:dyDescent="0.3">
      <c r="A13">
        <v>10012</v>
      </c>
      <c r="B13" t="s">
        <v>78</v>
      </c>
      <c r="C13" t="s">
        <v>79</v>
      </c>
      <c r="D13" t="s">
        <v>20</v>
      </c>
      <c r="E13">
        <v>67</v>
      </c>
      <c r="F13" t="s">
        <v>35</v>
      </c>
      <c r="G13" t="s">
        <v>47</v>
      </c>
      <c r="H13" t="s">
        <v>48</v>
      </c>
      <c r="I13" t="s">
        <v>49</v>
      </c>
      <c r="J13">
        <v>8</v>
      </c>
      <c r="K13" s="1">
        <v>45907</v>
      </c>
      <c r="L13" s="1">
        <v>45913</v>
      </c>
      <c r="M13" t="s">
        <v>50</v>
      </c>
      <c r="N13" t="s">
        <v>26</v>
      </c>
      <c r="O13">
        <v>324309.14</v>
      </c>
      <c r="P13">
        <v>236745.67</v>
      </c>
      <c r="Q13">
        <v>87563.47</v>
      </c>
      <c r="R13" t="s">
        <v>27</v>
      </c>
      <c r="S13">
        <f t="shared" si="0"/>
        <v>6</v>
      </c>
      <c r="T13" s="2">
        <f t="shared" si="1"/>
        <v>0.72999999321634912</v>
      </c>
      <c r="U13" s="2">
        <f t="shared" si="2"/>
        <v>0.27000000678365094</v>
      </c>
    </row>
    <row r="14" spans="1:22" x14ac:dyDescent="0.3">
      <c r="A14">
        <v>10013</v>
      </c>
      <c r="B14" t="s">
        <v>80</v>
      </c>
      <c r="C14" t="s">
        <v>81</v>
      </c>
      <c r="D14" t="s">
        <v>20</v>
      </c>
      <c r="E14">
        <v>65</v>
      </c>
      <c r="F14" t="s">
        <v>40</v>
      </c>
      <c r="G14" t="s">
        <v>22</v>
      </c>
      <c r="H14" t="s">
        <v>23</v>
      </c>
      <c r="I14" t="s">
        <v>24</v>
      </c>
      <c r="J14">
        <v>15</v>
      </c>
      <c r="K14" s="1">
        <v>45908</v>
      </c>
      <c r="L14" s="1">
        <v>45914</v>
      </c>
      <c r="M14" t="s">
        <v>25</v>
      </c>
      <c r="N14" t="s">
        <v>51</v>
      </c>
      <c r="O14">
        <v>98248.47</v>
      </c>
      <c r="P14">
        <v>76633.81</v>
      </c>
      <c r="Q14">
        <v>21614.66</v>
      </c>
      <c r="R14" t="s">
        <v>32</v>
      </c>
      <c r="S14">
        <f t="shared" si="0"/>
        <v>6</v>
      </c>
      <c r="T14" s="2">
        <f t="shared" si="1"/>
        <v>0.78000003460613687</v>
      </c>
      <c r="U14" s="2">
        <f t="shared" si="2"/>
        <v>0.21999996539386313</v>
      </c>
    </row>
    <row r="15" spans="1:22" x14ac:dyDescent="0.3">
      <c r="A15">
        <v>10014</v>
      </c>
      <c r="B15" t="s">
        <v>82</v>
      </c>
      <c r="C15" t="s">
        <v>83</v>
      </c>
      <c r="D15" t="s">
        <v>20</v>
      </c>
      <c r="E15">
        <v>74</v>
      </c>
      <c r="F15" t="s">
        <v>84</v>
      </c>
      <c r="G15" t="s">
        <v>55</v>
      </c>
      <c r="H15" t="s">
        <v>56</v>
      </c>
      <c r="I15" t="s">
        <v>49</v>
      </c>
      <c r="J15">
        <v>10</v>
      </c>
      <c r="K15" s="1">
        <v>45727</v>
      </c>
      <c r="L15" s="1">
        <v>45741</v>
      </c>
      <c r="M15" t="s">
        <v>85</v>
      </c>
      <c r="N15" t="s">
        <v>51</v>
      </c>
      <c r="O15">
        <v>134939.4</v>
      </c>
      <c r="P15">
        <v>89060</v>
      </c>
      <c r="Q15">
        <v>45879.4</v>
      </c>
      <c r="R15" t="s">
        <v>32</v>
      </c>
      <c r="S15">
        <f t="shared" si="0"/>
        <v>14</v>
      </c>
      <c r="T15" s="2">
        <f t="shared" si="1"/>
        <v>0.65999997035706404</v>
      </c>
      <c r="U15" s="2">
        <f t="shared" si="2"/>
        <v>0.34000002964293602</v>
      </c>
    </row>
    <row r="16" spans="1:22" x14ac:dyDescent="0.3">
      <c r="A16">
        <v>10015</v>
      </c>
      <c r="B16" t="s">
        <v>86</v>
      </c>
      <c r="C16" t="s">
        <v>87</v>
      </c>
      <c r="D16" t="s">
        <v>30</v>
      </c>
      <c r="E16">
        <v>23</v>
      </c>
      <c r="F16" t="s">
        <v>31</v>
      </c>
      <c r="G16" t="s">
        <v>36</v>
      </c>
      <c r="H16" t="s">
        <v>37</v>
      </c>
      <c r="I16" t="s">
        <v>24</v>
      </c>
      <c r="J16">
        <v>12</v>
      </c>
      <c r="K16" s="1">
        <v>46004</v>
      </c>
      <c r="L16" s="1">
        <v>46013</v>
      </c>
      <c r="M16" t="s">
        <v>76</v>
      </c>
      <c r="N16" t="s">
        <v>26</v>
      </c>
      <c r="O16">
        <v>449174.23</v>
      </c>
      <c r="P16">
        <v>278488.02</v>
      </c>
      <c r="Q16">
        <v>170686.21</v>
      </c>
      <c r="R16" t="s">
        <v>32</v>
      </c>
      <c r="S16">
        <f t="shared" si="0"/>
        <v>9</v>
      </c>
      <c r="T16" s="2">
        <f t="shared" si="1"/>
        <v>0.61999999421160035</v>
      </c>
      <c r="U16" s="2">
        <f t="shared" si="2"/>
        <v>0.38000000578839976</v>
      </c>
    </row>
    <row r="17" spans="1:21" x14ac:dyDescent="0.3">
      <c r="A17">
        <v>10016</v>
      </c>
      <c r="B17" t="s">
        <v>86</v>
      </c>
      <c r="C17" t="s">
        <v>87</v>
      </c>
      <c r="D17" t="s">
        <v>30</v>
      </c>
      <c r="E17">
        <v>23</v>
      </c>
      <c r="F17" t="s">
        <v>31</v>
      </c>
      <c r="G17" t="s">
        <v>88</v>
      </c>
      <c r="H17" t="s">
        <v>89</v>
      </c>
      <c r="I17" t="s">
        <v>62</v>
      </c>
      <c r="J17">
        <v>14</v>
      </c>
      <c r="K17" s="1">
        <v>45933</v>
      </c>
      <c r="L17" s="1">
        <v>45943</v>
      </c>
      <c r="M17" t="s">
        <v>77</v>
      </c>
      <c r="N17" t="s">
        <v>51</v>
      </c>
      <c r="O17">
        <v>80973.81</v>
      </c>
      <c r="P17">
        <v>66398.52</v>
      </c>
      <c r="Q17">
        <v>14575.29</v>
      </c>
      <c r="R17" t="s">
        <v>27</v>
      </c>
      <c r="S17">
        <f t="shared" si="0"/>
        <v>10</v>
      </c>
      <c r="T17" s="2">
        <f t="shared" si="1"/>
        <v>0.81999994813137733</v>
      </c>
      <c r="U17" s="2">
        <f t="shared" si="2"/>
        <v>0.18000005186862272</v>
      </c>
    </row>
    <row r="18" spans="1:21" x14ac:dyDescent="0.3">
      <c r="A18">
        <v>10017</v>
      </c>
      <c r="B18" t="s">
        <v>90</v>
      </c>
      <c r="C18" t="s">
        <v>91</v>
      </c>
      <c r="D18" t="s">
        <v>20</v>
      </c>
      <c r="E18">
        <v>48</v>
      </c>
      <c r="F18" t="s">
        <v>84</v>
      </c>
      <c r="G18" t="s">
        <v>88</v>
      </c>
      <c r="H18" t="s">
        <v>89</v>
      </c>
      <c r="I18" t="s">
        <v>62</v>
      </c>
      <c r="J18">
        <v>14</v>
      </c>
      <c r="K18" s="1">
        <v>45664</v>
      </c>
      <c r="L18" s="1">
        <v>45668</v>
      </c>
      <c r="M18" t="s">
        <v>63</v>
      </c>
      <c r="N18" t="s">
        <v>26</v>
      </c>
      <c r="O18">
        <v>37235.839999999997</v>
      </c>
      <c r="P18">
        <v>27926.880000000001</v>
      </c>
      <c r="Q18">
        <v>9308.9599999999991</v>
      </c>
      <c r="R18" t="s">
        <v>32</v>
      </c>
      <c r="S18">
        <f t="shared" si="0"/>
        <v>4</v>
      </c>
      <c r="T18" s="2">
        <f t="shared" si="1"/>
        <v>0.75000000000000011</v>
      </c>
      <c r="U18" s="2">
        <f t="shared" si="2"/>
        <v>0.25</v>
      </c>
    </row>
    <row r="19" spans="1:21" x14ac:dyDescent="0.3">
      <c r="A19">
        <v>10018</v>
      </c>
      <c r="B19" t="s">
        <v>80</v>
      </c>
      <c r="C19" t="s">
        <v>81</v>
      </c>
      <c r="D19" t="s">
        <v>20</v>
      </c>
      <c r="E19">
        <v>65</v>
      </c>
      <c r="F19" t="s">
        <v>40</v>
      </c>
      <c r="G19" t="s">
        <v>60</v>
      </c>
      <c r="H19" t="s">
        <v>61</v>
      </c>
      <c r="I19" t="s">
        <v>62</v>
      </c>
      <c r="J19">
        <v>18</v>
      </c>
      <c r="K19" s="1">
        <v>45784</v>
      </c>
      <c r="L19" s="1">
        <v>45794</v>
      </c>
      <c r="M19" t="s">
        <v>77</v>
      </c>
      <c r="N19" t="s">
        <v>26</v>
      </c>
      <c r="O19">
        <v>66849.289999999994</v>
      </c>
      <c r="P19">
        <v>54816.42</v>
      </c>
      <c r="Q19">
        <v>12032.87</v>
      </c>
      <c r="R19" t="s">
        <v>32</v>
      </c>
      <c r="S19">
        <f t="shared" si="0"/>
        <v>10</v>
      </c>
      <c r="T19" s="2">
        <f t="shared" si="1"/>
        <v>0.82000003290984846</v>
      </c>
      <c r="U19" s="2">
        <f t="shared" si="2"/>
        <v>0.17999996709015162</v>
      </c>
    </row>
    <row r="20" spans="1:21" x14ac:dyDescent="0.3">
      <c r="A20">
        <v>10019</v>
      </c>
      <c r="B20" t="s">
        <v>28</v>
      </c>
      <c r="C20" t="s">
        <v>29</v>
      </c>
      <c r="D20" t="s">
        <v>30</v>
      </c>
      <c r="E20">
        <v>60</v>
      </c>
      <c r="F20" t="s">
        <v>31</v>
      </c>
      <c r="G20" t="s">
        <v>22</v>
      </c>
      <c r="H20" t="s">
        <v>23</v>
      </c>
      <c r="I20" t="s">
        <v>24</v>
      </c>
      <c r="J20">
        <v>15</v>
      </c>
      <c r="K20" s="1">
        <v>45913</v>
      </c>
      <c r="L20" s="1">
        <v>45919</v>
      </c>
      <c r="M20" t="s">
        <v>66</v>
      </c>
      <c r="N20" t="s">
        <v>26</v>
      </c>
      <c r="O20">
        <v>32161.64</v>
      </c>
      <c r="P20">
        <v>20583.45</v>
      </c>
      <c r="Q20">
        <v>11578.19</v>
      </c>
      <c r="R20" t="s">
        <v>32</v>
      </c>
      <c r="S20">
        <f t="shared" si="0"/>
        <v>6</v>
      </c>
      <c r="T20" s="2">
        <f t="shared" si="1"/>
        <v>0.64000001243717675</v>
      </c>
      <c r="U20" s="2">
        <f t="shared" si="2"/>
        <v>0.35999998756282331</v>
      </c>
    </row>
    <row r="21" spans="1:21" x14ac:dyDescent="0.3">
      <c r="A21">
        <v>10020</v>
      </c>
      <c r="B21" t="s">
        <v>92</v>
      </c>
      <c r="C21" t="s">
        <v>93</v>
      </c>
      <c r="D21" t="s">
        <v>20</v>
      </c>
      <c r="E21">
        <v>40</v>
      </c>
      <c r="F21" t="s">
        <v>54</v>
      </c>
      <c r="G21" t="s">
        <v>60</v>
      </c>
      <c r="H21" t="s">
        <v>61</v>
      </c>
      <c r="I21" t="s">
        <v>62</v>
      </c>
      <c r="J21">
        <v>18</v>
      </c>
      <c r="K21" s="1">
        <v>45841</v>
      </c>
      <c r="L21" s="1">
        <v>45855</v>
      </c>
      <c r="M21" t="s">
        <v>63</v>
      </c>
      <c r="N21" t="s">
        <v>26</v>
      </c>
      <c r="O21">
        <v>29428.92</v>
      </c>
      <c r="P21">
        <v>17951.64</v>
      </c>
      <c r="Q21">
        <v>11477.28</v>
      </c>
      <c r="R21" t="s">
        <v>32</v>
      </c>
      <c r="S21">
        <f t="shared" si="0"/>
        <v>14</v>
      </c>
      <c r="T21" s="2">
        <f t="shared" si="1"/>
        <v>0.60999995922378392</v>
      </c>
      <c r="U21" s="2">
        <f t="shared" si="2"/>
        <v>0.39000004077621608</v>
      </c>
    </row>
    <row r="22" spans="1:21" x14ac:dyDescent="0.3">
      <c r="A22">
        <v>10021</v>
      </c>
      <c r="B22" t="s">
        <v>92</v>
      </c>
      <c r="C22" t="s">
        <v>93</v>
      </c>
      <c r="D22" t="s">
        <v>20</v>
      </c>
      <c r="E22">
        <v>40</v>
      </c>
      <c r="F22" t="s">
        <v>54</v>
      </c>
      <c r="G22" t="s">
        <v>22</v>
      </c>
      <c r="H22" t="s">
        <v>23</v>
      </c>
      <c r="I22" t="s">
        <v>24</v>
      </c>
      <c r="J22">
        <v>15</v>
      </c>
      <c r="K22" s="1">
        <v>45982</v>
      </c>
      <c r="L22" s="1">
        <v>45986</v>
      </c>
      <c r="M22" t="s">
        <v>66</v>
      </c>
      <c r="N22" t="s">
        <v>51</v>
      </c>
      <c r="O22">
        <v>27247.89</v>
      </c>
      <c r="P22">
        <v>18256.09</v>
      </c>
      <c r="Q22">
        <v>8991.7999999999993</v>
      </c>
      <c r="R22" t="s">
        <v>32</v>
      </c>
      <c r="S22">
        <f t="shared" si="0"/>
        <v>4</v>
      </c>
      <c r="T22" s="2">
        <f t="shared" si="1"/>
        <v>0.67000013579033091</v>
      </c>
      <c r="U22" s="2">
        <f t="shared" si="2"/>
        <v>0.32999986420966904</v>
      </c>
    </row>
    <row r="23" spans="1:21" x14ac:dyDescent="0.3">
      <c r="A23">
        <v>10022</v>
      </c>
      <c r="B23" t="s">
        <v>94</v>
      </c>
      <c r="C23" t="s">
        <v>95</v>
      </c>
      <c r="D23" t="s">
        <v>30</v>
      </c>
      <c r="E23">
        <v>66</v>
      </c>
      <c r="F23" t="s">
        <v>54</v>
      </c>
      <c r="G23" t="s">
        <v>60</v>
      </c>
      <c r="H23" t="s">
        <v>61</v>
      </c>
      <c r="I23" t="s">
        <v>62</v>
      </c>
      <c r="J23">
        <v>18</v>
      </c>
      <c r="K23" s="1">
        <v>45837</v>
      </c>
      <c r="L23" s="1">
        <v>45850</v>
      </c>
      <c r="M23" t="s">
        <v>96</v>
      </c>
      <c r="N23" t="s">
        <v>51</v>
      </c>
      <c r="O23">
        <v>267719.76</v>
      </c>
      <c r="P23">
        <v>200789.82</v>
      </c>
      <c r="Q23">
        <v>66929.94</v>
      </c>
      <c r="R23" t="s">
        <v>32</v>
      </c>
      <c r="S23">
        <f t="shared" si="0"/>
        <v>13</v>
      </c>
      <c r="T23" s="2">
        <f t="shared" si="1"/>
        <v>0.75</v>
      </c>
      <c r="U23" s="2">
        <f t="shared" si="2"/>
        <v>0.25</v>
      </c>
    </row>
    <row r="24" spans="1:21" x14ac:dyDescent="0.3">
      <c r="A24">
        <v>10023</v>
      </c>
      <c r="B24" t="s">
        <v>97</v>
      </c>
      <c r="C24" t="s">
        <v>98</v>
      </c>
      <c r="D24" t="s">
        <v>20</v>
      </c>
      <c r="E24">
        <v>43</v>
      </c>
      <c r="F24" t="s">
        <v>69</v>
      </c>
      <c r="G24" t="s">
        <v>47</v>
      </c>
      <c r="H24" t="s">
        <v>48</v>
      </c>
      <c r="I24" t="s">
        <v>49</v>
      </c>
      <c r="J24">
        <v>8</v>
      </c>
      <c r="K24" s="1">
        <v>45738</v>
      </c>
      <c r="L24" s="1">
        <v>45750</v>
      </c>
      <c r="M24" t="s">
        <v>85</v>
      </c>
      <c r="N24" t="s">
        <v>26</v>
      </c>
      <c r="O24">
        <v>96472.15</v>
      </c>
      <c r="P24">
        <v>68495.23</v>
      </c>
      <c r="Q24">
        <v>27976.92</v>
      </c>
      <c r="R24" t="s">
        <v>32</v>
      </c>
      <c r="S24">
        <f t="shared" si="0"/>
        <v>12</v>
      </c>
      <c r="T24" s="2">
        <f t="shared" si="1"/>
        <v>0.71000003627990049</v>
      </c>
      <c r="U24" s="2">
        <f t="shared" si="2"/>
        <v>0.28999996372009951</v>
      </c>
    </row>
    <row r="25" spans="1:21" x14ac:dyDescent="0.3">
      <c r="A25">
        <v>10024</v>
      </c>
      <c r="B25" t="s">
        <v>86</v>
      </c>
      <c r="C25" t="s">
        <v>87</v>
      </c>
      <c r="D25" t="s">
        <v>30</v>
      </c>
      <c r="E25">
        <v>23</v>
      </c>
      <c r="F25" t="s">
        <v>31</v>
      </c>
      <c r="G25" t="s">
        <v>36</v>
      </c>
      <c r="H25" t="s">
        <v>37</v>
      </c>
      <c r="I25" t="s">
        <v>24</v>
      </c>
      <c r="J25">
        <v>12</v>
      </c>
      <c r="K25" s="1">
        <v>45953</v>
      </c>
      <c r="L25" s="1">
        <v>45958</v>
      </c>
      <c r="M25" t="s">
        <v>76</v>
      </c>
      <c r="N25" t="s">
        <v>26</v>
      </c>
      <c r="O25">
        <v>202779.27</v>
      </c>
      <c r="P25">
        <v>143973.28</v>
      </c>
      <c r="Q25">
        <v>58805.99</v>
      </c>
      <c r="R25" t="s">
        <v>32</v>
      </c>
      <c r="S25">
        <f t="shared" si="0"/>
        <v>5</v>
      </c>
      <c r="T25" s="2">
        <f t="shared" si="1"/>
        <v>0.70999999161650007</v>
      </c>
      <c r="U25" s="2">
        <f t="shared" si="2"/>
        <v>0.29000000838349993</v>
      </c>
    </row>
    <row r="26" spans="1:21" x14ac:dyDescent="0.3">
      <c r="A26">
        <v>10025</v>
      </c>
      <c r="B26" t="s">
        <v>99</v>
      </c>
      <c r="C26" t="s">
        <v>100</v>
      </c>
      <c r="D26" t="s">
        <v>30</v>
      </c>
      <c r="E26">
        <v>68</v>
      </c>
      <c r="F26" t="s">
        <v>69</v>
      </c>
      <c r="G26" t="s">
        <v>70</v>
      </c>
      <c r="H26" t="s">
        <v>71</v>
      </c>
      <c r="I26" t="s">
        <v>43</v>
      </c>
      <c r="J26">
        <v>11</v>
      </c>
      <c r="K26" s="1">
        <v>45914</v>
      </c>
      <c r="L26" s="1">
        <v>45925</v>
      </c>
      <c r="M26" t="s">
        <v>72</v>
      </c>
      <c r="N26" t="s">
        <v>51</v>
      </c>
      <c r="O26">
        <v>13154.3</v>
      </c>
      <c r="P26">
        <v>9865.7199999999993</v>
      </c>
      <c r="Q26">
        <v>3288.58</v>
      </c>
      <c r="R26" t="s">
        <v>32</v>
      </c>
      <c r="S26">
        <f t="shared" si="0"/>
        <v>11</v>
      </c>
      <c r="T26" s="2">
        <f t="shared" si="1"/>
        <v>0.7499996198961556</v>
      </c>
      <c r="U26" s="2">
        <f t="shared" si="2"/>
        <v>0.2500003801038444</v>
      </c>
    </row>
    <row r="27" spans="1:21" x14ac:dyDescent="0.3">
      <c r="A27">
        <v>10026</v>
      </c>
      <c r="B27" t="s">
        <v>52</v>
      </c>
      <c r="C27" t="s">
        <v>53</v>
      </c>
      <c r="D27" t="s">
        <v>20</v>
      </c>
      <c r="E27">
        <v>49</v>
      </c>
      <c r="F27" t="s">
        <v>54</v>
      </c>
      <c r="G27" t="s">
        <v>55</v>
      </c>
      <c r="H27" t="s">
        <v>56</v>
      </c>
      <c r="I27" t="s">
        <v>49</v>
      </c>
      <c r="J27">
        <v>10</v>
      </c>
      <c r="K27" s="1">
        <v>45942</v>
      </c>
      <c r="L27" s="1">
        <v>45954</v>
      </c>
      <c r="M27" t="s">
        <v>101</v>
      </c>
      <c r="N27" t="s">
        <v>26</v>
      </c>
      <c r="O27">
        <v>27966.959999999999</v>
      </c>
      <c r="P27">
        <v>22373.57</v>
      </c>
      <c r="Q27">
        <v>5593.39</v>
      </c>
      <c r="R27" t="s">
        <v>32</v>
      </c>
      <c r="S27">
        <f t="shared" si="0"/>
        <v>12</v>
      </c>
      <c r="T27" s="2">
        <f t="shared" si="1"/>
        <v>0.80000007151295671</v>
      </c>
      <c r="U27" s="2">
        <f t="shared" si="2"/>
        <v>0.19999992848704329</v>
      </c>
    </row>
    <row r="28" spans="1:21" x14ac:dyDescent="0.3">
      <c r="A28">
        <v>10027</v>
      </c>
      <c r="B28" t="s">
        <v>92</v>
      </c>
      <c r="C28" t="s">
        <v>93</v>
      </c>
      <c r="D28" t="s">
        <v>20</v>
      </c>
      <c r="E28">
        <v>40</v>
      </c>
      <c r="F28" t="s">
        <v>54</v>
      </c>
      <c r="G28" t="s">
        <v>36</v>
      </c>
      <c r="H28" t="s">
        <v>37</v>
      </c>
      <c r="I28" t="s">
        <v>24</v>
      </c>
      <c r="J28">
        <v>12</v>
      </c>
      <c r="K28" s="1">
        <v>45986</v>
      </c>
      <c r="L28" s="1">
        <v>45999</v>
      </c>
      <c r="M28" t="s">
        <v>66</v>
      </c>
      <c r="N28" t="s">
        <v>51</v>
      </c>
      <c r="O28">
        <v>84943.88</v>
      </c>
      <c r="P28">
        <v>62009.03</v>
      </c>
      <c r="Q28">
        <v>22934.85</v>
      </c>
      <c r="R28" t="s">
        <v>32</v>
      </c>
      <c r="S28">
        <f t="shared" si="0"/>
        <v>13</v>
      </c>
      <c r="T28" s="2">
        <f t="shared" si="1"/>
        <v>0.72999997174605158</v>
      </c>
      <c r="U28" s="2">
        <f t="shared" si="2"/>
        <v>0.27000002825394837</v>
      </c>
    </row>
    <row r="29" spans="1:21" x14ac:dyDescent="0.3">
      <c r="A29">
        <v>10028</v>
      </c>
      <c r="B29" t="s">
        <v>97</v>
      </c>
      <c r="C29" t="s">
        <v>98</v>
      </c>
      <c r="D29" t="s">
        <v>20</v>
      </c>
      <c r="E29">
        <v>43</v>
      </c>
      <c r="F29" t="s">
        <v>69</v>
      </c>
      <c r="G29" t="s">
        <v>55</v>
      </c>
      <c r="H29" t="s">
        <v>56</v>
      </c>
      <c r="I29" t="s">
        <v>49</v>
      </c>
      <c r="J29">
        <v>10</v>
      </c>
      <c r="K29" s="1">
        <v>45983</v>
      </c>
      <c r="L29" s="1">
        <v>45995</v>
      </c>
      <c r="M29" t="s">
        <v>50</v>
      </c>
      <c r="N29" t="s">
        <v>26</v>
      </c>
      <c r="O29">
        <v>264069.96000000002</v>
      </c>
      <c r="P29">
        <v>208615.27</v>
      </c>
      <c r="Q29">
        <v>55454.69</v>
      </c>
      <c r="R29" t="s">
        <v>32</v>
      </c>
      <c r="S29">
        <f t="shared" si="0"/>
        <v>12</v>
      </c>
      <c r="T29" s="2">
        <f t="shared" si="1"/>
        <v>0.79000000605900034</v>
      </c>
      <c r="U29" s="2">
        <f t="shared" si="2"/>
        <v>0.20999999394099958</v>
      </c>
    </row>
    <row r="30" spans="1:21" x14ac:dyDescent="0.3">
      <c r="A30">
        <v>10029</v>
      </c>
      <c r="B30" t="s">
        <v>102</v>
      </c>
      <c r="C30" t="s">
        <v>103</v>
      </c>
      <c r="D30" t="s">
        <v>30</v>
      </c>
      <c r="E30">
        <v>59</v>
      </c>
      <c r="F30" t="s">
        <v>75</v>
      </c>
      <c r="G30" t="s">
        <v>55</v>
      </c>
      <c r="H30" t="s">
        <v>56</v>
      </c>
      <c r="I30" t="s">
        <v>49</v>
      </c>
      <c r="J30">
        <v>10</v>
      </c>
      <c r="K30" s="1">
        <v>45677</v>
      </c>
      <c r="L30" s="1">
        <v>45690</v>
      </c>
      <c r="M30" t="s">
        <v>85</v>
      </c>
      <c r="N30" t="s">
        <v>26</v>
      </c>
      <c r="O30">
        <v>110139.28</v>
      </c>
      <c r="P30">
        <v>75996.100000000006</v>
      </c>
      <c r="Q30">
        <v>34143.18</v>
      </c>
      <c r="R30" t="s">
        <v>27</v>
      </c>
      <c r="S30">
        <f t="shared" si="0"/>
        <v>13</v>
      </c>
      <c r="T30" s="2">
        <f t="shared" si="1"/>
        <v>0.68999997094587873</v>
      </c>
      <c r="U30" s="2">
        <f t="shared" si="2"/>
        <v>0.31000002905412127</v>
      </c>
    </row>
    <row r="31" spans="1:21" x14ac:dyDescent="0.3">
      <c r="A31">
        <v>10030</v>
      </c>
      <c r="B31" t="s">
        <v>38</v>
      </c>
      <c r="C31" t="s">
        <v>39</v>
      </c>
      <c r="D31" t="s">
        <v>30</v>
      </c>
      <c r="E31">
        <v>62</v>
      </c>
      <c r="F31" t="s">
        <v>40</v>
      </c>
      <c r="G31" t="s">
        <v>36</v>
      </c>
      <c r="H31" t="s">
        <v>37</v>
      </c>
      <c r="I31" t="s">
        <v>24</v>
      </c>
      <c r="J31">
        <v>12</v>
      </c>
      <c r="K31" s="1">
        <v>45687</v>
      </c>
      <c r="L31" s="1">
        <v>45690</v>
      </c>
      <c r="M31" t="s">
        <v>66</v>
      </c>
      <c r="N31" t="s">
        <v>51</v>
      </c>
      <c r="O31">
        <v>59277.39</v>
      </c>
      <c r="P31">
        <v>49793.01</v>
      </c>
      <c r="Q31">
        <v>9484.3799999999992</v>
      </c>
      <c r="R31" t="s">
        <v>27</v>
      </c>
      <c r="S31">
        <f t="shared" si="0"/>
        <v>3</v>
      </c>
      <c r="T31" s="2">
        <f t="shared" si="1"/>
        <v>0.84000004048761256</v>
      </c>
      <c r="U31" s="2">
        <f t="shared" si="2"/>
        <v>0.15999995951238744</v>
      </c>
    </row>
    <row r="32" spans="1:21" x14ac:dyDescent="0.3">
      <c r="A32">
        <v>10031</v>
      </c>
      <c r="B32" t="s">
        <v>104</v>
      </c>
      <c r="C32" t="s">
        <v>105</v>
      </c>
      <c r="D32" t="s">
        <v>30</v>
      </c>
      <c r="E32">
        <v>68</v>
      </c>
      <c r="F32" t="s">
        <v>21</v>
      </c>
      <c r="G32" t="s">
        <v>60</v>
      </c>
      <c r="H32" t="s">
        <v>61</v>
      </c>
      <c r="I32" t="s">
        <v>62</v>
      </c>
      <c r="J32">
        <v>18</v>
      </c>
      <c r="K32" s="1">
        <v>45727</v>
      </c>
      <c r="L32" s="1">
        <v>45737</v>
      </c>
      <c r="M32" t="s">
        <v>96</v>
      </c>
      <c r="N32" t="s">
        <v>26</v>
      </c>
      <c r="O32">
        <v>130084.33</v>
      </c>
      <c r="P32">
        <v>94961.56</v>
      </c>
      <c r="Q32">
        <v>35122.769999999997</v>
      </c>
      <c r="R32" t="s">
        <v>32</v>
      </c>
      <c r="S32">
        <f t="shared" si="0"/>
        <v>10</v>
      </c>
      <c r="T32" s="2">
        <f t="shared" si="1"/>
        <v>0.72999999308141106</v>
      </c>
      <c r="U32" s="2">
        <f t="shared" si="2"/>
        <v>0.27000000691858889</v>
      </c>
    </row>
    <row r="33" spans="1:21" x14ac:dyDescent="0.3">
      <c r="A33">
        <v>10032</v>
      </c>
      <c r="B33" t="s">
        <v>33</v>
      </c>
      <c r="C33" t="s">
        <v>34</v>
      </c>
      <c r="D33" t="s">
        <v>20</v>
      </c>
      <c r="E33">
        <v>26</v>
      </c>
      <c r="F33" t="s">
        <v>35</v>
      </c>
      <c r="G33" t="s">
        <v>22</v>
      </c>
      <c r="H33" t="s">
        <v>23</v>
      </c>
      <c r="I33" t="s">
        <v>24</v>
      </c>
      <c r="J33">
        <v>15</v>
      </c>
      <c r="K33" s="1">
        <v>45751</v>
      </c>
      <c r="L33" s="1">
        <v>45762</v>
      </c>
      <c r="M33" t="s">
        <v>66</v>
      </c>
      <c r="N33" t="s">
        <v>51</v>
      </c>
      <c r="O33">
        <v>66519.539999999994</v>
      </c>
      <c r="P33">
        <v>40576.92</v>
      </c>
      <c r="Q33">
        <v>25942.62</v>
      </c>
      <c r="R33" t="s">
        <v>32</v>
      </c>
      <c r="S33">
        <f t="shared" si="0"/>
        <v>11</v>
      </c>
      <c r="T33" s="2">
        <f t="shared" si="1"/>
        <v>0.61000000901990603</v>
      </c>
      <c r="U33" s="2">
        <f t="shared" si="2"/>
        <v>0.38999999098009397</v>
      </c>
    </row>
    <row r="34" spans="1:21" x14ac:dyDescent="0.3">
      <c r="A34">
        <v>10033</v>
      </c>
      <c r="B34" t="s">
        <v>106</v>
      </c>
      <c r="C34" t="s">
        <v>107</v>
      </c>
      <c r="D34" t="s">
        <v>30</v>
      </c>
      <c r="E34">
        <v>37</v>
      </c>
      <c r="F34" t="s">
        <v>31</v>
      </c>
      <c r="G34" t="s">
        <v>47</v>
      </c>
      <c r="H34" t="s">
        <v>48</v>
      </c>
      <c r="I34" t="s">
        <v>49</v>
      </c>
      <c r="J34">
        <v>8</v>
      </c>
      <c r="K34" s="1">
        <v>46001</v>
      </c>
      <c r="L34" s="1">
        <v>46011</v>
      </c>
      <c r="M34" t="s">
        <v>101</v>
      </c>
      <c r="N34" t="s">
        <v>26</v>
      </c>
      <c r="O34">
        <v>35169.69</v>
      </c>
      <c r="P34">
        <v>22508.6</v>
      </c>
      <c r="Q34">
        <v>12661.09</v>
      </c>
      <c r="R34" t="s">
        <v>27</v>
      </c>
      <c r="S34">
        <f t="shared" si="0"/>
        <v>10</v>
      </c>
      <c r="T34" s="2">
        <f t="shared" si="1"/>
        <v>0.63999995450628078</v>
      </c>
      <c r="U34" s="2">
        <f t="shared" si="2"/>
        <v>0.36000004549371917</v>
      </c>
    </row>
    <row r="35" spans="1:21" x14ac:dyDescent="0.3">
      <c r="A35">
        <v>10034</v>
      </c>
      <c r="B35" t="s">
        <v>108</v>
      </c>
      <c r="C35" t="s">
        <v>109</v>
      </c>
      <c r="D35" t="s">
        <v>20</v>
      </c>
      <c r="E35">
        <v>34</v>
      </c>
      <c r="F35" t="s">
        <v>40</v>
      </c>
      <c r="G35" t="s">
        <v>36</v>
      </c>
      <c r="H35" t="s">
        <v>37</v>
      </c>
      <c r="I35" t="s">
        <v>24</v>
      </c>
      <c r="J35">
        <v>12</v>
      </c>
      <c r="K35" s="1">
        <v>45827</v>
      </c>
      <c r="L35" s="1">
        <v>45841</v>
      </c>
      <c r="M35" t="s">
        <v>66</v>
      </c>
      <c r="N35" t="s">
        <v>26</v>
      </c>
      <c r="O35">
        <v>84716.71</v>
      </c>
      <c r="P35">
        <v>55065.86</v>
      </c>
      <c r="Q35">
        <v>29650.85</v>
      </c>
      <c r="R35" t="s">
        <v>32</v>
      </c>
      <c r="S35">
        <f t="shared" si="0"/>
        <v>14</v>
      </c>
      <c r="T35" s="2">
        <f t="shared" si="1"/>
        <v>0.64999998229392997</v>
      </c>
      <c r="U35" s="2">
        <f t="shared" si="2"/>
        <v>0.35000001770606998</v>
      </c>
    </row>
    <row r="36" spans="1:21" x14ac:dyDescent="0.3">
      <c r="A36">
        <v>10035</v>
      </c>
      <c r="B36" t="s">
        <v>78</v>
      </c>
      <c r="C36" t="s">
        <v>79</v>
      </c>
      <c r="D36" t="s">
        <v>20</v>
      </c>
      <c r="E36">
        <v>67</v>
      </c>
      <c r="F36" t="s">
        <v>35</v>
      </c>
      <c r="G36" t="s">
        <v>55</v>
      </c>
      <c r="H36" t="s">
        <v>56</v>
      </c>
      <c r="I36" t="s">
        <v>49</v>
      </c>
      <c r="J36">
        <v>10</v>
      </c>
      <c r="K36" s="1">
        <v>45667</v>
      </c>
      <c r="L36" s="1">
        <v>45680</v>
      </c>
      <c r="M36" t="s">
        <v>85</v>
      </c>
      <c r="N36" t="s">
        <v>26</v>
      </c>
      <c r="O36">
        <v>98479.38</v>
      </c>
      <c r="P36">
        <v>63026.8</v>
      </c>
      <c r="Q36">
        <v>35452.58</v>
      </c>
      <c r="R36" t="s">
        <v>32</v>
      </c>
      <c r="S36">
        <f t="shared" si="0"/>
        <v>13</v>
      </c>
      <c r="T36" s="2">
        <f t="shared" si="1"/>
        <v>0.63999996750588806</v>
      </c>
      <c r="U36" s="2">
        <f t="shared" si="2"/>
        <v>0.36000003249411194</v>
      </c>
    </row>
    <row r="37" spans="1:21" x14ac:dyDescent="0.3">
      <c r="A37">
        <v>10036</v>
      </c>
      <c r="B37" t="s">
        <v>110</v>
      </c>
      <c r="C37" t="s">
        <v>111</v>
      </c>
      <c r="D37" t="s">
        <v>20</v>
      </c>
      <c r="E37">
        <v>44</v>
      </c>
      <c r="F37" t="s">
        <v>35</v>
      </c>
      <c r="G37" t="s">
        <v>22</v>
      </c>
      <c r="H37" t="s">
        <v>23</v>
      </c>
      <c r="I37" t="s">
        <v>24</v>
      </c>
      <c r="J37">
        <v>15</v>
      </c>
      <c r="K37" s="1">
        <v>45893</v>
      </c>
      <c r="L37" s="1">
        <v>45900</v>
      </c>
      <c r="M37" t="s">
        <v>66</v>
      </c>
      <c r="N37" t="s">
        <v>26</v>
      </c>
      <c r="O37">
        <v>62948.81</v>
      </c>
      <c r="P37">
        <v>44064.17</v>
      </c>
      <c r="Q37">
        <v>18884.64</v>
      </c>
      <c r="R37" t="s">
        <v>27</v>
      </c>
      <c r="S37">
        <f t="shared" si="0"/>
        <v>7</v>
      </c>
      <c r="T37" s="2">
        <f t="shared" si="1"/>
        <v>0.70000004765777146</v>
      </c>
      <c r="U37" s="2">
        <f t="shared" si="2"/>
        <v>0.29999995234222854</v>
      </c>
    </row>
    <row r="38" spans="1:21" x14ac:dyDescent="0.3">
      <c r="A38">
        <v>10037</v>
      </c>
      <c r="B38" t="s">
        <v>86</v>
      </c>
      <c r="C38" t="s">
        <v>87</v>
      </c>
      <c r="D38" t="s">
        <v>30</v>
      </c>
      <c r="E38">
        <v>23</v>
      </c>
      <c r="F38" t="s">
        <v>31</v>
      </c>
      <c r="G38" t="s">
        <v>70</v>
      </c>
      <c r="H38" t="s">
        <v>71</v>
      </c>
      <c r="I38" t="s">
        <v>43</v>
      </c>
      <c r="J38">
        <v>11</v>
      </c>
      <c r="K38" s="1">
        <v>45790</v>
      </c>
      <c r="L38" s="1">
        <v>45796</v>
      </c>
      <c r="M38" t="s">
        <v>112</v>
      </c>
      <c r="N38" t="s">
        <v>51</v>
      </c>
      <c r="O38">
        <v>45768.2</v>
      </c>
      <c r="P38">
        <v>33868.47</v>
      </c>
      <c r="Q38">
        <v>11899.73</v>
      </c>
      <c r="R38" t="s">
        <v>32</v>
      </c>
      <c r="S38">
        <f t="shared" si="0"/>
        <v>6</v>
      </c>
      <c r="T38" s="2">
        <f t="shared" si="1"/>
        <v>0.74000004369846317</v>
      </c>
      <c r="U38" s="2">
        <f t="shared" si="2"/>
        <v>0.25999995630153688</v>
      </c>
    </row>
    <row r="39" spans="1:21" x14ac:dyDescent="0.3">
      <c r="A39">
        <v>10038</v>
      </c>
      <c r="B39" t="s">
        <v>113</v>
      </c>
      <c r="C39" t="s">
        <v>114</v>
      </c>
      <c r="D39" t="s">
        <v>30</v>
      </c>
      <c r="E39">
        <v>33</v>
      </c>
      <c r="F39" t="s">
        <v>59</v>
      </c>
      <c r="G39" t="s">
        <v>88</v>
      </c>
      <c r="H39" t="s">
        <v>89</v>
      </c>
      <c r="I39" t="s">
        <v>62</v>
      </c>
      <c r="J39">
        <v>14</v>
      </c>
      <c r="K39" s="1">
        <v>45701</v>
      </c>
      <c r="L39" s="1">
        <v>45711</v>
      </c>
      <c r="M39" t="s">
        <v>96</v>
      </c>
      <c r="N39" t="s">
        <v>26</v>
      </c>
      <c r="O39">
        <v>141827.26</v>
      </c>
      <c r="P39">
        <v>90769.45</v>
      </c>
      <c r="Q39">
        <v>51057.81</v>
      </c>
      <c r="R39" t="s">
        <v>32</v>
      </c>
      <c r="S39">
        <f t="shared" si="0"/>
        <v>10</v>
      </c>
      <c r="T39" s="2">
        <f t="shared" si="1"/>
        <v>0.6400000253829905</v>
      </c>
      <c r="U39" s="2">
        <f t="shared" si="2"/>
        <v>0.35999997461700939</v>
      </c>
    </row>
    <row r="40" spans="1:21" x14ac:dyDescent="0.3">
      <c r="A40">
        <v>10039</v>
      </c>
      <c r="B40" t="s">
        <v>115</v>
      </c>
      <c r="C40" t="s">
        <v>116</v>
      </c>
      <c r="D40" t="s">
        <v>30</v>
      </c>
      <c r="E40">
        <v>18</v>
      </c>
      <c r="F40" t="s">
        <v>31</v>
      </c>
      <c r="G40" t="s">
        <v>70</v>
      </c>
      <c r="H40" t="s">
        <v>71</v>
      </c>
      <c r="I40" t="s">
        <v>43</v>
      </c>
      <c r="J40">
        <v>11</v>
      </c>
      <c r="K40" s="1">
        <v>45829</v>
      </c>
      <c r="L40" s="1">
        <v>45841</v>
      </c>
      <c r="M40" t="s">
        <v>72</v>
      </c>
      <c r="N40" t="s">
        <v>26</v>
      </c>
      <c r="O40">
        <v>23121.72</v>
      </c>
      <c r="P40">
        <v>18959.810000000001</v>
      </c>
      <c r="Q40">
        <v>4161.91</v>
      </c>
      <c r="R40" t="s">
        <v>32</v>
      </c>
      <c r="S40">
        <f t="shared" si="0"/>
        <v>12</v>
      </c>
      <c r="T40" s="2">
        <f t="shared" si="1"/>
        <v>0.81999998270024899</v>
      </c>
      <c r="U40" s="2">
        <f t="shared" si="2"/>
        <v>0.18000001729975104</v>
      </c>
    </row>
    <row r="41" spans="1:21" x14ac:dyDescent="0.3">
      <c r="A41">
        <v>10040</v>
      </c>
      <c r="B41" t="s">
        <v>90</v>
      </c>
      <c r="C41" t="s">
        <v>91</v>
      </c>
      <c r="D41" t="s">
        <v>20</v>
      </c>
      <c r="E41">
        <v>48</v>
      </c>
      <c r="F41" t="s">
        <v>84</v>
      </c>
      <c r="G41" t="s">
        <v>60</v>
      </c>
      <c r="H41" t="s">
        <v>61</v>
      </c>
      <c r="I41" t="s">
        <v>62</v>
      </c>
      <c r="J41">
        <v>18</v>
      </c>
      <c r="K41" s="1">
        <v>45751</v>
      </c>
      <c r="L41" s="1">
        <v>45758</v>
      </c>
      <c r="M41" t="s">
        <v>96</v>
      </c>
      <c r="N41" t="s">
        <v>26</v>
      </c>
      <c r="O41">
        <v>281870.14</v>
      </c>
      <c r="P41">
        <v>219858.71</v>
      </c>
      <c r="Q41">
        <v>62011.43</v>
      </c>
      <c r="R41" t="s">
        <v>27</v>
      </c>
      <c r="S41">
        <f t="shared" si="0"/>
        <v>7</v>
      </c>
      <c r="T41" s="2">
        <f t="shared" si="1"/>
        <v>0.78000000283818638</v>
      </c>
      <c r="U41" s="2">
        <f t="shared" si="2"/>
        <v>0.21999999716181359</v>
      </c>
    </row>
    <row r="42" spans="1:21" x14ac:dyDescent="0.3">
      <c r="A42">
        <v>10041</v>
      </c>
      <c r="B42" t="s">
        <v>38</v>
      </c>
      <c r="C42" t="s">
        <v>39</v>
      </c>
      <c r="D42" t="s">
        <v>30</v>
      </c>
      <c r="E42">
        <v>62</v>
      </c>
      <c r="F42" t="s">
        <v>40</v>
      </c>
      <c r="G42" t="s">
        <v>60</v>
      </c>
      <c r="H42" t="s">
        <v>61</v>
      </c>
      <c r="I42" t="s">
        <v>62</v>
      </c>
      <c r="J42">
        <v>18</v>
      </c>
      <c r="K42" s="1">
        <v>45680</v>
      </c>
      <c r="L42" s="1">
        <v>45690</v>
      </c>
      <c r="M42" t="s">
        <v>77</v>
      </c>
      <c r="N42" t="s">
        <v>26</v>
      </c>
      <c r="O42">
        <v>64474.31</v>
      </c>
      <c r="P42">
        <v>52224.19</v>
      </c>
      <c r="Q42">
        <v>12250.12</v>
      </c>
      <c r="R42" t="s">
        <v>32</v>
      </c>
      <c r="S42">
        <f t="shared" si="0"/>
        <v>10</v>
      </c>
      <c r="T42" s="2">
        <f t="shared" si="1"/>
        <v>0.80999998293894115</v>
      </c>
      <c r="U42" s="2">
        <f t="shared" si="2"/>
        <v>0.1900000170610589</v>
      </c>
    </row>
    <row r="43" spans="1:21" x14ac:dyDescent="0.3">
      <c r="A43">
        <v>10042</v>
      </c>
      <c r="B43" t="s">
        <v>115</v>
      </c>
      <c r="C43" t="s">
        <v>116</v>
      </c>
      <c r="D43" t="s">
        <v>30</v>
      </c>
      <c r="E43">
        <v>18</v>
      </c>
      <c r="F43" t="s">
        <v>31</v>
      </c>
      <c r="G43" t="s">
        <v>41</v>
      </c>
      <c r="H43" t="s">
        <v>42</v>
      </c>
      <c r="I43" t="s">
        <v>43</v>
      </c>
      <c r="J43">
        <v>9</v>
      </c>
      <c r="K43" s="1">
        <v>45852</v>
      </c>
      <c r="L43" s="1">
        <v>45862</v>
      </c>
      <c r="M43" t="s">
        <v>112</v>
      </c>
      <c r="N43" t="s">
        <v>26</v>
      </c>
      <c r="O43">
        <v>44500.9</v>
      </c>
      <c r="P43">
        <v>31595.64</v>
      </c>
      <c r="Q43">
        <v>12905.26</v>
      </c>
      <c r="R43" t="s">
        <v>32</v>
      </c>
      <c r="S43">
        <f t="shared" si="0"/>
        <v>10</v>
      </c>
      <c r="T43" s="2">
        <f t="shared" si="1"/>
        <v>0.71000002247145555</v>
      </c>
      <c r="U43" s="2">
        <f t="shared" si="2"/>
        <v>0.28999997752854434</v>
      </c>
    </row>
    <row r="44" spans="1:21" x14ac:dyDescent="0.3">
      <c r="A44">
        <v>10043</v>
      </c>
      <c r="B44" t="s">
        <v>90</v>
      </c>
      <c r="C44" t="s">
        <v>91</v>
      </c>
      <c r="D44" t="s">
        <v>20</v>
      </c>
      <c r="E44">
        <v>48</v>
      </c>
      <c r="F44" t="s">
        <v>84</v>
      </c>
      <c r="G44" t="s">
        <v>22</v>
      </c>
      <c r="H44" t="s">
        <v>23</v>
      </c>
      <c r="I44" t="s">
        <v>24</v>
      </c>
      <c r="J44">
        <v>15</v>
      </c>
      <c r="K44" s="1">
        <v>45998</v>
      </c>
      <c r="L44" s="1">
        <v>46010</v>
      </c>
      <c r="M44" t="s">
        <v>66</v>
      </c>
      <c r="N44" t="s">
        <v>26</v>
      </c>
      <c r="O44">
        <v>33949.279999999999</v>
      </c>
      <c r="P44">
        <v>25801.45</v>
      </c>
      <c r="Q44">
        <v>8147.83</v>
      </c>
      <c r="R44" t="s">
        <v>32</v>
      </c>
      <c r="S44">
        <f t="shared" si="0"/>
        <v>12</v>
      </c>
      <c r="T44" s="2">
        <f t="shared" si="1"/>
        <v>0.75999991752402407</v>
      </c>
      <c r="U44" s="2">
        <f t="shared" si="2"/>
        <v>0.24000008247597593</v>
      </c>
    </row>
    <row r="45" spans="1:21" x14ac:dyDescent="0.3">
      <c r="A45">
        <v>10044</v>
      </c>
      <c r="B45" t="s">
        <v>80</v>
      </c>
      <c r="C45" t="s">
        <v>81</v>
      </c>
      <c r="D45" t="s">
        <v>20</v>
      </c>
      <c r="E45">
        <v>65</v>
      </c>
      <c r="F45" t="s">
        <v>40</v>
      </c>
      <c r="G45" t="s">
        <v>41</v>
      </c>
      <c r="H45" t="s">
        <v>42</v>
      </c>
      <c r="I45" t="s">
        <v>43</v>
      </c>
      <c r="J45">
        <v>9</v>
      </c>
      <c r="K45" s="1">
        <v>45760</v>
      </c>
      <c r="L45" s="1">
        <v>45773</v>
      </c>
      <c r="M45" t="s">
        <v>72</v>
      </c>
      <c r="N45" t="s">
        <v>26</v>
      </c>
      <c r="O45">
        <v>9794.08</v>
      </c>
      <c r="P45">
        <v>6953.8</v>
      </c>
      <c r="Q45">
        <v>2840.28</v>
      </c>
      <c r="R45" t="s">
        <v>32</v>
      </c>
      <c r="S45">
        <f t="shared" si="0"/>
        <v>13</v>
      </c>
      <c r="T45" s="2">
        <f t="shared" si="1"/>
        <v>0.71000032672798263</v>
      </c>
      <c r="U45" s="2">
        <f t="shared" si="2"/>
        <v>0.28999967327201742</v>
      </c>
    </row>
    <row r="46" spans="1:21" x14ac:dyDescent="0.3">
      <c r="A46">
        <v>10045</v>
      </c>
      <c r="B46" t="s">
        <v>80</v>
      </c>
      <c r="C46" t="s">
        <v>81</v>
      </c>
      <c r="D46" t="s">
        <v>20</v>
      </c>
      <c r="E46">
        <v>65</v>
      </c>
      <c r="F46" t="s">
        <v>40</v>
      </c>
      <c r="G46" t="s">
        <v>22</v>
      </c>
      <c r="H46" t="s">
        <v>23</v>
      </c>
      <c r="I46" t="s">
        <v>24</v>
      </c>
      <c r="J46">
        <v>15</v>
      </c>
      <c r="K46" s="1">
        <v>45700</v>
      </c>
      <c r="L46" s="1">
        <v>45703</v>
      </c>
      <c r="M46" t="s">
        <v>66</v>
      </c>
      <c r="N46" t="s">
        <v>26</v>
      </c>
      <c r="O46">
        <v>37227.449999999997</v>
      </c>
      <c r="P46">
        <v>24570.12</v>
      </c>
      <c r="Q46">
        <v>12657.33</v>
      </c>
      <c r="R46" t="s">
        <v>32</v>
      </c>
      <c r="S46">
        <f t="shared" si="0"/>
        <v>3</v>
      </c>
      <c r="T46" s="2">
        <f t="shared" si="1"/>
        <v>0.66000008058569692</v>
      </c>
      <c r="U46" s="2">
        <f t="shared" si="2"/>
        <v>0.33999991941430319</v>
      </c>
    </row>
    <row r="47" spans="1:21" x14ac:dyDescent="0.3">
      <c r="A47">
        <v>10046</v>
      </c>
      <c r="B47" t="s">
        <v>82</v>
      </c>
      <c r="C47" t="s">
        <v>83</v>
      </c>
      <c r="D47" t="s">
        <v>20</v>
      </c>
      <c r="E47">
        <v>74</v>
      </c>
      <c r="F47" t="s">
        <v>84</v>
      </c>
      <c r="G47" t="s">
        <v>60</v>
      </c>
      <c r="H47" t="s">
        <v>61</v>
      </c>
      <c r="I47" t="s">
        <v>62</v>
      </c>
      <c r="J47">
        <v>18</v>
      </c>
      <c r="K47" s="1">
        <v>45842</v>
      </c>
      <c r="L47" s="1">
        <v>45856</v>
      </c>
      <c r="M47" t="s">
        <v>77</v>
      </c>
      <c r="N47" t="s">
        <v>26</v>
      </c>
      <c r="O47">
        <v>59082.720000000001</v>
      </c>
      <c r="P47">
        <v>49629.48</v>
      </c>
      <c r="Q47">
        <v>9453.24</v>
      </c>
      <c r="R47" t="s">
        <v>32</v>
      </c>
      <c r="S47">
        <f t="shared" si="0"/>
        <v>14</v>
      </c>
      <c r="T47" s="2">
        <f t="shared" si="1"/>
        <v>0.83999991875797186</v>
      </c>
      <c r="U47" s="2">
        <f t="shared" si="2"/>
        <v>0.16000008124202811</v>
      </c>
    </row>
    <row r="48" spans="1:21" x14ac:dyDescent="0.3">
      <c r="A48">
        <v>10047</v>
      </c>
      <c r="B48" t="s">
        <v>117</v>
      </c>
      <c r="C48" t="s">
        <v>118</v>
      </c>
      <c r="D48" t="s">
        <v>20</v>
      </c>
      <c r="E48">
        <v>65</v>
      </c>
      <c r="F48" t="s">
        <v>119</v>
      </c>
      <c r="G48" t="s">
        <v>55</v>
      </c>
      <c r="H48" t="s">
        <v>56</v>
      </c>
      <c r="I48" t="s">
        <v>49</v>
      </c>
      <c r="J48">
        <v>10</v>
      </c>
      <c r="K48" s="1">
        <v>45750</v>
      </c>
      <c r="L48" s="1">
        <v>45756</v>
      </c>
      <c r="M48" t="s">
        <v>50</v>
      </c>
      <c r="N48" t="s">
        <v>26</v>
      </c>
      <c r="O48">
        <v>289394.78999999998</v>
      </c>
      <c r="P48">
        <v>205470.3</v>
      </c>
      <c r="Q48">
        <v>83924.49</v>
      </c>
      <c r="R48" t="s">
        <v>32</v>
      </c>
      <c r="S48">
        <f t="shared" si="0"/>
        <v>6</v>
      </c>
      <c r="T48" s="2">
        <f t="shared" si="1"/>
        <v>0.70999999689006155</v>
      </c>
      <c r="U48" s="2">
        <f t="shared" si="2"/>
        <v>0.29000000310993856</v>
      </c>
    </row>
    <row r="49" spans="1:21" x14ac:dyDescent="0.3">
      <c r="A49">
        <v>10048</v>
      </c>
      <c r="B49" t="s">
        <v>38</v>
      </c>
      <c r="C49" t="s">
        <v>39</v>
      </c>
      <c r="D49" t="s">
        <v>30</v>
      </c>
      <c r="E49">
        <v>62</v>
      </c>
      <c r="F49" t="s">
        <v>40</v>
      </c>
      <c r="G49" t="s">
        <v>22</v>
      </c>
      <c r="H49" t="s">
        <v>23</v>
      </c>
      <c r="I49" t="s">
        <v>24</v>
      </c>
      <c r="J49">
        <v>15</v>
      </c>
      <c r="K49" s="1">
        <v>45975</v>
      </c>
      <c r="L49" s="1">
        <v>45989</v>
      </c>
      <c r="M49" t="s">
        <v>76</v>
      </c>
      <c r="N49" t="s">
        <v>51</v>
      </c>
      <c r="O49">
        <v>409237.87</v>
      </c>
      <c r="P49">
        <v>343759.81</v>
      </c>
      <c r="Q49">
        <v>65478.06</v>
      </c>
      <c r="R49" t="s">
        <v>32</v>
      </c>
      <c r="S49">
        <f t="shared" si="0"/>
        <v>14</v>
      </c>
      <c r="T49" s="2">
        <f t="shared" si="1"/>
        <v>0.83999999804514669</v>
      </c>
      <c r="U49" s="2">
        <f t="shared" si="2"/>
        <v>0.16000000195485328</v>
      </c>
    </row>
    <row r="50" spans="1:21" x14ac:dyDescent="0.3">
      <c r="A50">
        <v>10049</v>
      </c>
      <c r="B50" t="s">
        <v>94</v>
      </c>
      <c r="C50" t="s">
        <v>95</v>
      </c>
      <c r="D50" t="s">
        <v>30</v>
      </c>
      <c r="E50">
        <v>66</v>
      </c>
      <c r="F50" t="s">
        <v>54</v>
      </c>
      <c r="G50" t="s">
        <v>22</v>
      </c>
      <c r="H50" t="s">
        <v>23</v>
      </c>
      <c r="I50" t="s">
        <v>24</v>
      </c>
      <c r="J50">
        <v>15</v>
      </c>
      <c r="K50" s="1">
        <v>45912</v>
      </c>
      <c r="L50" s="1">
        <v>45920</v>
      </c>
      <c r="M50" t="s">
        <v>25</v>
      </c>
      <c r="N50" t="s">
        <v>26</v>
      </c>
      <c r="O50">
        <v>101899.81</v>
      </c>
      <c r="P50">
        <v>75405.86</v>
      </c>
      <c r="Q50">
        <v>26493.95</v>
      </c>
      <c r="R50" t="s">
        <v>32</v>
      </c>
      <c r="S50">
        <f t="shared" si="0"/>
        <v>8</v>
      </c>
      <c r="T50" s="2">
        <f t="shared" si="1"/>
        <v>0.74000000588813664</v>
      </c>
      <c r="U50" s="2">
        <f t="shared" si="2"/>
        <v>0.25999999411186342</v>
      </c>
    </row>
    <row r="51" spans="1:21" x14ac:dyDescent="0.3">
      <c r="A51">
        <v>10050</v>
      </c>
      <c r="B51" t="s">
        <v>67</v>
      </c>
      <c r="C51" t="s">
        <v>68</v>
      </c>
      <c r="D51" t="s">
        <v>20</v>
      </c>
      <c r="E51">
        <v>33</v>
      </c>
      <c r="F51" t="s">
        <v>69</v>
      </c>
      <c r="G51" t="s">
        <v>70</v>
      </c>
      <c r="H51" t="s">
        <v>71</v>
      </c>
      <c r="I51" t="s">
        <v>43</v>
      </c>
      <c r="J51">
        <v>11</v>
      </c>
      <c r="K51" s="1">
        <v>45953</v>
      </c>
      <c r="L51" s="1">
        <v>45964</v>
      </c>
      <c r="M51" t="s">
        <v>72</v>
      </c>
      <c r="N51" t="s">
        <v>26</v>
      </c>
      <c r="O51">
        <v>20204.82</v>
      </c>
      <c r="P51">
        <v>16163.86</v>
      </c>
      <c r="Q51">
        <v>4040.96</v>
      </c>
      <c r="R51" t="s">
        <v>32</v>
      </c>
      <c r="S51">
        <f t="shared" si="0"/>
        <v>11</v>
      </c>
      <c r="T51" s="2">
        <f t="shared" si="1"/>
        <v>0.80000019797256305</v>
      </c>
      <c r="U51" s="2">
        <f t="shared" si="2"/>
        <v>0.19999980202743703</v>
      </c>
    </row>
    <row r="52" spans="1:21" x14ac:dyDescent="0.3">
      <c r="A52">
        <v>10051</v>
      </c>
      <c r="B52" t="s">
        <v>120</v>
      </c>
      <c r="C52" t="s">
        <v>74</v>
      </c>
      <c r="D52" t="s">
        <v>20</v>
      </c>
      <c r="E52">
        <v>61</v>
      </c>
      <c r="F52" t="s">
        <v>69</v>
      </c>
      <c r="G52" t="s">
        <v>88</v>
      </c>
      <c r="H52" t="s">
        <v>89</v>
      </c>
      <c r="I52" t="s">
        <v>62</v>
      </c>
      <c r="J52">
        <v>14</v>
      </c>
      <c r="K52" s="1">
        <v>45786</v>
      </c>
      <c r="L52" s="1">
        <v>45798</v>
      </c>
      <c r="M52" t="s">
        <v>77</v>
      </c>
      <c r="N52" t="s">
        <v>26</v>
      </c>
      <c r="O52">
        <v>58919.78</v>
      </c>
      <c r="P52">
        <v>49492.62</v>
      </c>
      <c r="Q52">
        <v>9427.16</v>
      </c>
      <c r="R52" t="s">
        <v>32</v>
      </c>
      <c r="S52">
        <f t="shared" si="0"/>
        <v>12</v>
      </c>
      <c r="T52" s="2">
        <f t="shared" si="1"/>
        <v>0.84000008146669936</v>
      </c>
      <c r="U52" s="2">
        <f t="shared" si="2"/>
        <v>0.1599999185333007</v>
      </c>
    </row>
    <row r="53" spans="1:21" x14ac:dyDescent="0.3">
      <c r="A53">
        <v>10052</v>
      </c>
      <c r="B53" t="s">
        <v>115</v>
      </c>
      <c r="C53" t="s">
        <v>116</v>
      </c>
      <c r="D53" t="s">
        <v>30</v>
      </c>
      <c r="E53">
        <v>18</v>
      </c>
      <c r="F53" t="s">
        <v>31</v>
      </c>
      <c r="G53" t="s">
        <v>22</v>
      </c>
      <c r="H53" t="s">
        <v>23</v>
      </c>
      <c r="I53" t="s">
        <v>24</v>
      </c>
      <c r="J53">
        <v>15</v>
      </c>
      <c r="K53" s="1">
        <v>45936</v>
      </c>
      <c r="L53" s="1">
        <v>45942</v>
      </c>
      <c r="M53" t="s">
        <v>66</v>
      </c>
      <c r="N53" t="s">
        <v>26</v>
      </c>
      <c r="O53">
        <v>53770.400000000001</v>
      </c>
      <c r="P53">
        <v>39790.1</v>
      </c>
      <c r="Q53">
        <v>13980.3</v>
      </c>
      <c r="R53" t="s">
        <v>27</v>
      </c>
      <c r="S53">
        <f t="shared" si="0"/>
        <v>6</v>
      </c>
      <c r="T53" s="2">
        <f t="shared" si="1"/>
        <v>0.74000007439037085</v>
      </c>
      <c r="U53" s="2">
        <f t="shared" si="2"/>
        <v>0.25999992560962909</v>
      </c>
    </row>
    <row r="54" spans="1:21" x14ac:dyDescent="0.3">
      <c r="A54">
        <v>10053</v>
      </c>
      <c r="B54" t="s">
        <v>121</v>
      </c>
      <c r="C54" t="s">
        <v>122</v>
      </c>
      <c r="D54" t="s">
        <v>20</v>
      </c>
      <c r="E54">
        <v>23</v>
      </c>
      <c r="F54" t="s">
        <v>59</v>
      </c>
      <c r="G54" t="s">
        <v>47</v>
      </c>
      <c r="H54" t="s">
        <v>48</v>
      </c>
      <c r="I54" t="s">
        <v>49</v>
      </c>
      <c r="J54">
        <v>8</v>
      </c>
      <c r="K54" s="1">
        <v>45763</v>
      </c>
      <c r="L54" s="1">
        <v>45774</v>
      </c>
      <c r="M54" t="s">
        <v>85</v>
      </c>
      <c r="N54" t="s">
        <v>26</v>
      </c>
      <c r="O54">
        <v>87926.51</v>
      </c>
      <c r="P54">
        <v>61548.56</v>
      </c>
      <c r="Q54">
        <v>26377.95</v>
      </c>
      <c r="R54" t="s">
        <v>32</v>
      </c>
      <c r="S54">
        <f t="shared" si="0"/>
        <v>11</v>
      </c>
      <c r="T54" s="2">
        <f t="shared" si="1"/>
        <v>0.7000000341194027</v>
      </c>
      <c r="U54" s="2">
        <f t="shared" si="2"/>
        <v>0.29999996588059735</v>
      </c>
    </row>
    <row r="55" spans="1:21" x14ac:dyDescent="0.3">
      <c r="A55">
        <v>10054</v>
      </c>
      <c r="B55" t="s">
        <v>80</v>
      </c>
      <c r="C55" t="s">
        <v>81</v>
      </c>
      <c r="D55" t="s">
        <v>20</v>
      </c>
      <c r="E55">
        <v>65</v>
      </c>
      <c r="F55" t="s">
        <v>40</v>
      </c>
      <c r="G55" t="s">
        <v>60</v>
      </c>
      <c r="H55" t="s">
        <v>61</v>
      </c>
      <c r="I55" t="s">
        <v>62</v>
      </c>
      <c r="J55">
        <v>18</v>
      </c>
      <c r="K55" s="1">
        <v>45927</v>
      </c>
      <c r="L55" s="1">
        <v>45940</v>
      </c>
      <c r="M55" t="s">
        <v>96</v>
      </c>
      <c r="N55" t="s">
        <v>51</v>
      </c>
      <c r="O55">
        <v>113745.89</v>
      </c>
      <c r="P55">
        <v>89859.25</v>
      </c>
      <c r="Q55">
        <v>23886.639999999999</v>
      </c>
      <c r="R55" t="s">
        <v>32</v>
      </c>
      <c r="S55">
        <f t="shared" si="0"/>
        <v>13</v>
      </c>
      <c r="T55" s="2">
        <f t="shared" si="1"/>
        <v>0.78999997274626799</v>
      </c>
      <c r="U55" s="2">
        <f t="shared" si="2"/>
        <v>0.21000002725373199</v>
      </c>
    </row>
    <row r="56" spans="1:21" x14ac:dyDescent="0.3">
      <c r="A56">
        <v>10055</v>
      </c>
      <c r="B56" t="s">
        <v>123</v>
      </c>
      <c r="C56" t="s">
        <v>124</v>
      </c>
      <c r="D56" t="s">
        <v>30</v>
      </c>
      <c r="E56">
        <v>65</v>
      </c>
      <c r="F56" t="s">
        <v>35</v>
      </c>
      <c r="G56" t="s">
        <v>47</v>
      </c>
      <c r="H56" t="s">
        <v>48</v>
      </c>
      <c r="I56" t="s">
        <v>49</v>
      </c>
      <c r="J56">
        <v>8</v>
      </c>
      <c r="K56" s="1">
        <v>45845</v>
      </c>
      <c r="L56" s="1">
        <v>45850</v>
      </c>
      <c r="M56" t="s">
        <v>50</v>
      </c>
      <c r="N56" t="s">
        <v>51</v>
      </c>
      <c r="O56">
        <v>326465.09000000003</v>
      </c>
      <c r="P56">
        <v>199143.7</v>
      </c>
      <c r="Q56">
        <v>127321.39</v>
      </c>
      <c r="R56" t="s">
        <v>32</v>
      </c>
      <c r="S56">
        <f t="shared" si="0"/>
        <v>5</v>
      </c>
      <c r="T56" s="2">
        <f t="shared" si="1"/>
        <v>0.60999998499073815</v>
      </c>
      <c r="U56" s="2">
        <f t="shared" si="2"/>
        <v>0.39000001500926174</v>
      </c>
    </row>
    <row r="57" spans="1:21" x14ac:dyDescent="0.3">
      <c r="A57">
        <v>10056</v>
      </c>
      <c r="B57" t="s">
        <v>125</v>
      </c>
      <c r="C57" t="s">
        <v>126</v>
      </c>
      <c r="D57" t="s">
        <v>30</v>
      </c>
      <c r="E57">
        <v>73</v>
      </c>
      <c r="F57" t="s">
        <v>21</v>
      </c>
      <c r="G57" t="s">
        <v>60</v>
      </c>
      <c r="H57" t="s">
        <v>61</v>
      </c>
      <c r="I57" t="s">
        <v>62</v>
      </c>
      <c r="J57">
        <v>18</v>
      </c>
      <c r="K57" s="1">
        <v>45933</v>
      </c>
      <c r="L57" s="1">
        <v>45941</v>
      </c>
      <c r="M57" t="s">
        <v>96</v>
      </c>
      <c r="N57" t="s">
        <v>26</v>
      </c>
      <c r="O57">
        <v>258281.91</v>
      </c>
      <c r="P57">
        <v>162717.6</v>
      </c>
      <c r="Q57">
        <v>95564.31</v>
      </c>
      <c r="R57" t="s">
        <v>32</v>
      </c>
      <c r="S57">
        <f t="shared" si="0"/>
        <v>8</v>
      </c>
      <c r="T57" s="2">
        <f t="shared" si="1"/>
        <v>0.62999998722326311</v>
      </c>
      <c r="U57" s="2">
        <f t="shared" si="2"/>
        <v>0.37000001277673683</v>
      </c>
    </row>
    <row r="58" spans="1:21" x14ac:dyDescent="0.3">
      <c r="A58">
        <v>10057</v>
      </c>
      <c r="B58" t="s">
        <v>127</v>
      </c>
      <c r="C58" t="s">
        <v>128</v>
      </c>
      <c r="D58" t="s">
        <v>20</v>
      </c>
      <c r="E58">
        <v>41</v>
      </c>
      <c r="F58" t="s">
        <v>54</v>
      </c>
      <c r="G58" t="s">
        <v>36</v>
      </c>
      <c r="H58" t="s">
        <v>37</v>
      </c>
      <c r="I58" t="s">
        <v>24</v>
      </c>
      <c r="J58">
        <v>12</v>
      </c>
      <c r="K58" s="1">
        <v>45660</v>
      </c>
      <c r="L58" s="1">
        <v>45664</v>
      </c>
      <c r="M58" t="s">
        <v>25</v>
      </c>
      <c r="N58" t="s">
        <v>51</v>
      </c>
      <c r="O58">
        <v>102722.79</v>
      </c>
      <c r="P58">
        <v>76014.86</v>
      </c>
      <c r="Q58">
        <v>26707.93</v>
      </c>
      <c r="R58" t="s">
        <v>32</v>
      </c>
      <c r="S58">
        <f t="shared" si="0"/>
        <v>4</v>
      </c>
      <c r="T58" s="2">
        <f t="shared" si="1"/>
        <v>0.73999995521928486</v>
      </c>
      <c r="U58" s="2">
        <f t="shared" si="2"/>
        <v>0.2600000447807152</v>
      </c>
    </row>
    <row r="59" spans="1:21" x14ac:dyDescent="0.3">
      <c r="A59">
        <v>10058</v>
      </c>
      <c r="B59" t="s">
        <v>129</v>
      </c>
      <c r="C59" t="s">
        <v>130</v>
      </c>
      <c r="D59" t="s">
        <v>30</v>
      </c>
      <c r="E59">
        <v>28</v>
      </c>
      <c r="F59" t="s">
        <v>35</v>
      </c>
      <c r="G59" t="s">
        <v>36</v>
      </c>
      <c r="H59" t="s">
        <v>37</v>
      </c>
      <c r="I59" t="s">
        <v>24</v>
      </c>
      <c r="J59">
        <v>12</v>
      </c>
      <c r="K59" s="1">
        <v>45910</v>
      </c>
      <c r="L59" s="1">
        <v>45913</v>
      </c>
      <c r="M59" t="s">
        <v>66</v>
      </c>
      <c r="N59" t="s">
        <v>26</v>
      </c>
      <c r="O59">
        <v>71218.91</v>
      </c>
      <c r="P59">
        <v>56975.13</v>
      </c>
      <c r="Q59">
        <v>14243.78</v>
      </c>
      <c r="R59" t="s">
        <v>27</v>
      </c>
      <c r="S59">
        <f t="shared" si="0"/>
        <v>3</v>
      </c>
      <c r="T59" s="2">
        <f t="shared" si="1"/>
        <v>0.8000000280824292</v>
      </c>
      <c r="U59" s="2">
        <f t="shared" si="2"/>
        <v>0.19999997191757077</v>
      </c>
    </row>
    <row r="60" spans="1:21" x14ac:dyDescent="0.3">
      <c r="A60">
        <v>10059</v>
      </c>
      <c r="B60" t="s">
        <v>131</v>
      </c>
      <c r="C60" t="s">
        <v>132</v>
      </c>
      <c r="D60" t="s">
        <v>20</v>
      </c>
      <c r="E60">
        <v>68</v>
      </c>
      <c r="F60" t="s">
        <v>31</v>
      </c>
      <c r="G60" t="s">
        <v>41</v>
      </c>
      <c r="H60" t="s">
        <v>42</v>
      </c>
      <c r="I60" t="s">
        <v>43</v>
      </c>
      <c r="J60">
        <v>9</v>
      </c>
      <c r="K60" s="1">
        <v>45954</v>
      </c>
      <c r="L60" s="1">
        <v>45962</v>
      </c>
      <c r="M60" t="s">
        <v>72</v>
      </c>
      <c r="N60" t="s">
        <v>26</v>
      </c>
      <c r="O60">
        <v>24257.14</v>
      </c>
      <c r="P60">
        <v>16252.28</v>
      </c>
      <c r="Q60">
        <v>8004.86</v>
      </c>
      <c r="R60" t="s">
        <v>32</v>
      </c>
      <c r="S60">
        <f t="shared" si="0"/>
        <v>8</v>
      </c>
      <c r="T60" s="2">
        <f t="shared" si="1"/>
        <v>0.66999984334509344</v>
      </c>
      <c r="U60" s="2">
        <f t="shared" si="2"/>
        <v>0.33000015665490656</v>
      </c>
    </row>
    <row r="61" spans="1:21" x14ac:dyDescent="0.3">
      <c r="A61">
        <v>10060</v>
      </c>
      <c r="B61" t="s">
        <v>113</v>
      </c>
      <c r="C61" t="s">
        <v>114</v>
      </c>
      <c r="D61" t="s">
        <v>30</v>
      </c>
      <c r="E61">
        <v>33</v>
      </c>
      <c r="F61" t="s">
        <v>59</v>
      </c>
      <c r="G61" t="s">
        <v>41</v>
      </c>
      <c r="H61" t="s">
        <v>42</v>
      </c>
      <c r="I61" t="s">
        <v>43</v>
      </c>
      <c r="J61">
        <v>9</v>
      </c>
      <c r="K61" s="1">
        <v>45851</v>
      </c>
      <c r="L61" s="1">
        <v>45861</v>
      </c>
      <c r="M61" t="s">
        <v>72</v>
      </c>
      <c r="N61" t="s">
        <v>51</v>
      </c>
      <c r="O61">
        <v>23066.16</v>
      </c>
      <c r="P61">
        <v>15915.65</v>
      </c>
      <c r="Q61">
        <v>7150.51</v>
      </c>
      <c r="R61" t="s">
        <v>32</v>
      </c>
      <c r="S61">
        <f t="shared" si="0"/>
        <v>10</v>
      </c>
      <c r="T61" s="2">
        <f t="shared" si="1"/>
        <v>0.68999998265857865</v>
      </c>
      <c r="U61" s="2">
        <f t="shared" si="2"/>
        <v>0.31000001734142141</v>
      </c>
    </row>
    <row r="62" spans="1:21" x14ac:dyDescent="0.3">
      <c r="A62">
        <v>10061</v>
      </c>
      <c r="B62" t="s">
        <v>133</v>
      </c>
      <c r="C62" t="s">
        <v>134</v>
      </c>
      <c r="D62" t="s">
        <v>20</v>
      </c>
      <c r="E62">
        <v>56</v>
      </c>
      <c r="F62" t="s">
        <v>40</v>
      </c>
      <c r="G62" t="s">
        <v>47</v>
      </c>
      <c r="H62" t="s">
        <v>48</v>
      </c>
      <c r="I62" t="s">
        <v>49</v>
      </c>
      <c r="J62">
        <v>8</v>
      </c>
      <c r="K62" s="1">
        <v>45967</v>
      </c>
      <c r="L62" s="1">
        <v>45978</v>
      </c>
      <c r="M62" t="s">
        <v>85</v>
      </c>
      <c r="N62" t="s">
        <v>51</v>
      </c>
      <c r="O62">
        <v>78618.100000000006</v>
      </c>
      <c r="P62">
        <v>64466.84</v>
      </c>
      <c r="Q62">
        <v>14151.26</v>
      </c>
      <c r="R62" t="s">
        <v>32</v>
      </c>
      <c r="S62">
        <f t="shared" si="0"/>
        <v>11</v>
      </c>
      <c r="T62" s="2">
        <f t="shared" si="1"/>
        <v>0.8199999745605655</v>
      </c>
      <c r="U62" s="2">
        <f t="shared" si="2"/>
        <v>0.18000002543943441</v>
      </c>
    </row>
    <row r="63" spans="1:21" x14ac:dyDescent="0.3">
      <c r="A63">
        <v>10062</v>
      </c>
      <c r="B63" t="s">
        <v>117</v>
      </c>
      <c r="C63" t="s">
        <v>118</v>
      </c>
      <c r="D63" t="s">
        <v>20</v>
      </c>
      <c r="E63">
        <v>65</v>
      </c>
      <c r="F63" t="s">
        <v>119</v>
      </c>
      <c r="G63" t="s">
        <v>88</v>
      </c>
      <c r="H63" t="s">
        <v>89</v>
      </c>
      <c r="I63" t="s">
        <v>62</v>
      </c>
      <c r="J63">
        <v>14</v>
      </c>
      <c r="K63" s="1">
        <v>45945</v>
      </c>
      <c r="L63" s="1">
        <v>45955</v>
      </c>
      <c r="M63" t="s">
        <v>63</v>
      </c>
      <c r="N63" t="s">
        <v>51</v>
      </c>
      <c r="O63">
        <v>19533.23</v>
      </c>
      <c r="P63">
        <v>15626.58</v>
      </c>
      <c r="Q63">
        <v>3906.65</v>
      </c>
      <c r="R63" t="s">
        <v>27</v>
      </c>
      <c r="S63">
        <f t="shared" si="0"/>
        <v>10</v>
      </c>
      <c r="T63" s="2">
        <f t="shared" si="1"/>
        <v>0.7999997952207597</v>
      </c>
      <c r="U63" s="2">
        <f t="shared" si="2"/>
        <v>0.2000002047792403</v>
      </c>
    </row>
    <row r="64" spans="1:21" x14ac:dyDescent="0.3">
      <c r="A64">
        <v>10063</v>
      </c>
      <c r="B64" t="s">
        <v>125</v>
      </c>
      <c r="C64" t="s">
        <v>126</v>
      </c>
      <c r="D64" t="s">
        <v>30</v>
      </c>
      <c r="E64">
        <v>73</v>
      </c>
      <c r="F64" t="s">
        <v>21</v>
      </c>
      <c r="G64" t="s">
        <v>55</v>
      </c>
      <c r="H64" t="s">
        <v>56</v>
      </c>
      <c r="I64" t="s">
        <v>49</v>
      </c>
      <c r="J64">
        <v>10</v>
      </c>
      <c r="K64" s="1">
        <v>45849</v>
      </c>
      <c r="L64" s="1">
        <v>45856</v>
      </c>
      <c r="M64" t="s">
        <v>101</v>
      </c>
      <c r="N64" t="s">
        <v>26</v>
      </c>
      <c r="O64">
        <v>21986.799999999999</v>
      </c>
      <c r="P64">
        <v>13631.82</v>
      </c>
      <c r="Q64">
        <v>8354.98</v>
      </c>
      <c r="R64" t="s">
        <v>27</v>
      </c>
      <c r="S64">
        <f t="shared" si="0"/>
        <v>7</v>
      </c>
      <c r="T64" s="2">
        <f t="shared" si="1"/>
        <v>0.62000018192733819</v>
      </c>
      <c r="U64" s="2">
        <f t="shared" si="2"/>
        <v>0.37999981807266175</v>
      </c>
    </row>
    <row r="65" spans="1:21" x14ac:dyDescent="0.3">
      <c r="A65">
        <v>10064</v>
      </c>
      <c r="B65" t="s">
        <v>125</v>
      </c>
      <c r="C65" t="s">
        <v>126</v>
      </c>
      <c r="D65" t="s">
        <v>30</v>
      </c>
      <c r="E65">
        <v>73</v>
      </c>
      <c r="F65" t="s">
        <v>21</v>
      </c>
      <c r="G65" t="s">
        <v>47</v>
      </c>
      <c r="H65" t="s">
        <v>48</v>
      </c>
      <c r="I65" t="s">
        <v>49</v>
      </c>
      <c r="J65">
        <v>8</v>
      </c>
      <c r="K65" s="1">
        <v>45895</v>
      </c>
      <c r="L65" s="1">
        <v>45897</v>
      </c>
      <c r="M65" t="s">
        <v>85</v>
      </c>
      <c r="N65" t="s">
        <v>26</v>
      </c>
      <c r="O65">
        <v>83743.77</v>
      </c>
      <c r="P65">
        <v>61970.39</v>
      </c>
      <c r="Q65">
        <v>21773.38</v>
      </c>
      <c r="R65" t="s">
        <v>27</v>
      </c>
      <c r="S65">
        <f t="shared" si="0"/>
        <v>2</v>
      </c>
      <c r="T65" s="2">
        <f t="shared" si="1"/>
        <v>0.74000000238823727</v>
      </c>
      <c r="U65" s="2">
        <f t="shared" si="2"/>
        <v>0.25999999761176262</v>
      </c>
    </row>
    <row r="66" spans="1:21" x14ac:dyDescent="0.3">
      <c r="A66">
        <v>10065</v>
      </c>
      <c r="B66" t="s">
        <v>78</v>
      </c>
      <c r="C66" t="s">
        <v>79</v>
      </c>
      <c r="D66" t="s">
        <v>20</v>
      </c>
      <c r="E66">
        <v>67</v>
      </c>
      <c r="F66" t="s">
        <v>35</v>
      </c>
      <c r="G66" t="s">
        <v>60</v>
      </c>
      <c r="H66" t="s">
        <v>61</v>
      </c>
      <c r="I66" t="s">
        <v>62</v>
      </c>
      <c r="J66">
        <v>18</v>
      </c>
      <c r="K66" s="1">
        <v>45987</v>
      </c>
      <c r="L66" s="1">
        <v>45995</v>
      </c>
      <c r="M66" t="s">
        <v>63</v>
      </c>
      <c r="N66" t="s">
        <v>51</v>
      </c>
      <c r="O66">
        <v>26009.35</v>
      </c>
      <c r="P66">
        <v>19507.009999999998</v>
      </c>
      <c r="Q66">
        <v>6502.34</v>
      </c>
      <c r="R66" t="s">
        <v>32</v>
      </c>
      <c r="S66">
        <f t="shared" si="0"/>
        <v>8</v>
      </c>
      <c r="T66" s="2">
        <f t="shared" si="1"/>
        <v>0.7499999038807198</v>
      </c>
      <c r="U66" s="2">
        <f t="shared" si="2"/>
        <v>0.2500000961192802</v>
      </c>
    </row>
    <row r="67" spans="1:21" x14ac:dyDescent="0.3">
      <c r="A67">
        <v>10066</v>
      </c>
      <c r="B67" t="s">
        <v>73</v>
      </c>
      <c r="C67" t="s">
        <v>74</v>
      </c>
      <c r="D67" t="s">
        <v>20</v>
      </c>
      <c r="E67">
        <v>53</v>
      </c>
      <c r="F67" t="s">
        <v>75</v>
      </c>
      <c r="G67" t="s">
        <v>41</v>
      </c>
      <c r="H67" t="s">
        <v>42</v>
      </c>
      <c r="I67" t="s">
        <v>43</v>
      </c>
      <c r="J67">
        <v>9</v>
      </c>
      <c r="K67" s="1">
        <v>45707</v>
      </c>
      <c r="L67" s="1">
        <v>45712</v>
      </c>
      <c r="M67" t="s">
        <v>112</v>
      </c>
      <c r="N67" t="s">
        <v>51</v>
      </c>
      <c r="O67">
        <v>30839.599999999999</v>
      </c>
      <c r="P67">
        <v>19120.55</v>
      </c>
      <c r="Q67">
        <v>11719.05</v>
      </c>
      <c r="R67" t="s">
        <v>32</v>
      </c>
      <c r="S67">
        <f t="shared" ref="S67:S130" si="3">L67-K67</f>
        <v>5</v>
      </c>
      <c r="T67" s="2">
        <f t="shared" ref="T67:T130" si="4">P67/O67</f>
        <v>0.61999993514831586</v>
      </c>
      <c r="U67" s="2">
        <f t="shared" ref="U67:U130" si="5">Q67/O67</f>
        <v>0.38000006485168419</v>
      </c>
    </row>
    <row r="68" spans="1:21" x14ac:dyDescent="0.3">
      <c r="A68">
        <v>10067</v>
      </c>
      <c r="B68" t="s">
        <v>117</v>
      </c>
      <c r="C68" t="s">
        <v>118</v>
      </c>
      <c r="D68" t="s">
        <v>20</v>
      </c>
      <c r="E68">
        <v>65</v>
      </c>
      <c r="F68" t="s">
        <v>119</v>
      </c>
      <c r="G68" t="s">
        <v>88</v>
      </c>
      <c r="H68" t="s">
        <v>89</v>
      </c>
      <c r="I68" t="s">
        <v>62</v>
      </c>
      <c r="J68">
        <v>14</v>
      </c>
      <c r="K68" s="1">
        <v>45782</v>
      </c>
      <c r="L68" s="1">
        <v>45794</v>
      </c>
      <c r="M68" t="s">
        <v>96</v>
      </c>
      <c r="N68" t="s">
        <v>26</v>
      </c>
      <c r="O68">
        <v>260802.85</v>
      </c>
      <c r="P68">
        <v>172129.88</v>
      </c>
      <c r="Q68">
        <v>88672.97</v>
      </c>
      <c r="R68" t="s">
        <v>27</v>
      </c>
      <c r="S68">
        <f t="shared" si="3"/>
        <v>12</v>
      </c>
      <c r="T68" s="2">
        <f t="shared" si="4"/>
        <v>0.65999999616568605</v>
      </c>
      <c r="U68" s="2">
        <f t="shared" si="5"/>
        <v>0.34000000383431395</v>
      </c>
    </row>
    <row r="69" spans="1:21" x14ac:dyDescent="0.3">
      <c r="A69">
        <v>10068</v>
      </c>
      <c r="B69" t="s">
        <v>125</v>
      </c>
      <c r="C69" t="s">
        <v>126</v>
      </c>
      <c r="D69" t="s">
        <v>30</v>
      </c>
      <c r="E69">
        <v>73</v>
      </c>
      <c r="F69" t="s">
        <v>21</v>
      </c>
      <c r="G69" t="s">
        <v>47</v>
      </c>
      <c r="H69" t="s">
        <v>48</v>
      </c>
      <c r="I69" t="s">
        <v>49</v>
      </c>
      <c r="J69">
        <v>8</v>
      </c>
      <c r="K69" s="1">
        <v>45951</v>
      </c>
      <c r="L69" s="1">
        <v>45961</v>
      </c>
      <c r="M69" t="s">
        <v>50</v>
      </c>
      <c r="N69" t="s">
        <v>26</v>
      </c>
      <c r="O69">
        <v>361474.42</v>
      </c>
      <c r="P69">
        <v>220499.4</v>
      </c>
      <c r="Q69">
        <v>140975.01999999999</v>
      </c>
      <c r="R69" t="s">
        <v>27</v>
      </c>
      <c r="S69">
        <f t="shared" si="3"/>
        <v>10</v>
      </c>
      <c r="T69" s="2">
        <f t="shared" si="4"/>
        <v>0.61000001051250041</v>
      </c>
      <c r="U69" s="2">
        <f t="shared" si="5"/>
        <v>0.38999998948749953</v>
      </c>
    </row>
    <row r="70" spans="1:21" x14ac:dyDescent="0.3">
      <c r="A70">
        <v>10069</v>
      </c>
      <c r="B70" t="s">
        <v>57</v>
      </c>
      <c r="C70" t="s">
        <v>58</v>
      </c>
      <c r="D70" t="s">
        <v>20</v>
      </c>
      <c r="E70">
        <v>45</v>
      </c>
      <c r="F70" t="s">
        <v>59</v>
      </c>
      <c r="G70" t="s">
        <v>36</v>
      </c>
      <c r="H70" t="s">
        <v>37</v>
      </c>
      <c r="I70" t="s">
        <v>24</v>
      </c>
      <c r="J70">
        <v>12</v>
      </c>
      <c r="K70" s="1">
        <v>45727</v>
      </c>
      <c r="L70" s="1">
        <v>45738</v>
      </c>
      <c r="M70" t="s">
        <v>66</v>
      </c>
      <c r="N70" t="s">
        <v>26</v>
      </c>
      <c r="O70">
        <v>49250.53</v>
      </c>
      <c r="P70">
        <v>38907.919999999998</v>
      </c>
      <c r="Q70">
        <v>10342.61</v>
      </c>
      <c r="R70" t="s">
        <v>32</v>
      </c>
      <c r="S70">
        <f t="shared" si="3"/>
        <v>11</v>
      </c>
      <c r="T70" s="2">
        <f t="shared" si="4"/>
        <v>0.79000002639565503</v>
      </c>
      <c r="U70" s="2">
        <f t="shared" si="5"/>
        <v>0.209999973604345</v>
      </c>
    </row>
    <row r="71" spans="1:21" x14ac:dyDescent="0.3">
      <c r="A71">
        <v>10070</v>
      </c>
      <c r="B71" t="s">
        <v>82</v>
      </c>
      <c r="C71" t="s">
        <v>83</v>
      </c>
      <c r="D71" t="s">
        <v>20</v>
      </c>
      <c r="E71">
        <v>74</v>
      </c>
      <c r="F71" t="s">
        <v>84</v>
      </c>
      <c r="G71" t="s">
        <v>88</v>
      </c>
      <c r="H71" t="s">
        <v>89</v>
      </c>
      <c r="I71" t="s">
        <v>62</v>
      </c>
      <c r="J71">
        <v>14</v>
      </c>
      <c r="K71" s="1">
        <v>45914</v>
      </c>
      <c r="L71" s="1">
        <v>45924</v>
      </c>
      <c r="M71" t="s">
        <v>77</v>
      </c>
      <c r="N71" t="s">
        <v>26</v>
      </c>
      <c r="O71">
        <v>40334.379999999997</v>
      </c>
      <c r="P71">
        <v>33880.879999999997</v>
      </c>
      <c r="Q71">
        <v>6453.5</v>
      </c>
      <c r="R71" t="s">
        <v>32</v>
      </c>
      <c r="S71">
        <f t="shared" si="3"/>
        <v>10</v>
      </c>
      <c r="T71" s="2">
        <f t="shared" si="4"/>
        <v>0.84000001983419603</v>
      </c>
      <c r="U71" s="2">
        <f t="shared" si="5"/>
        <v>0.15999998016580397</v>
      </c>
    </row>
    <row r="72" spans="1:21" x14ac:dyDescent="0.3">
      <c r="A72">
        <v>10071</v>
      </c>
      <c r="B72" t="s">
        <v>113</v>
      </c>
      <c r="C72" t="s">
        <v>114</v>
      </c>
      <c r="D72" t="s">
        <v>30</v>
      </c>
      <c r="E72">
        <v>33</v>
      </c>
      <c r="F72" t="s">
        <v>59</v>
      </c>
      <c r="G72" t="s">
        <v>88</v>
      </c>
      <c r="H72" t="s">
        <v>89</v>
      </c>
      <c r="I72" t="s">
        <v>62</v>
      </c>
      <c r="J72">
        <v>14</v>
      </c>
      <c r="K72" s="1">
        <v>45969</v>
      </c>
      <c r="L72" s="1">
        <v>45981</v>
      </c>
      <c r="M72" t="s">
        <v>96</v>
      </c>
      <c r="N72" t="s">
        <v>26</v>
      </c>
      <c r="O72">
        <v>184431.91</v>
      </c>
      <c r="P72">
        <v>138323.93</v>
      </c>
      <c r="Q72">
        <v>46107.98</v>
      </c>
      <c r="R72" t="s">
        <v>27</v>
      </c>
      <c r="S72">
        <f t="shared" si="3"/>
        <v>12</v>
      </c>
      <c r="T72" s="2">
        <f t="shared" si="4"/>
        <v>0.74999998644486188</v>
      </c>
      <c r="U72" s="2">
        <f t="shared" si="5"/>
        <v>0.25000001355513807</v>
      </c>
    </row>
    <row r="73" spans="1:21" x14ac:dyDescent="0.3">
      <c r="A73">
        <v>10072</v>
      </c>
      <c r="B73" t="s">
        <v>131</v>
      </c>
      <c r="C73" t="s">
        <v>132</v>
      </c>
      <c r="D73" t="s">
        <v>20</v>
      </c>
      <c r="E73">
        <v>68</v>
      </c>
      <c r="F73" t="s">
        <v>31</v>
      </c>
      <c r="G73" t="s">
        <v>47</v>
      </c>
      <c r="H73" t="s">
        <v>48</v>
      </c>
      <c r="I73" t="s">
        <v>49</v>
      </c>
      <c r="J73">
        <v>8</v>
      </c>
      <c r="K73" s="1">
        <v>45801</v>
      </c>
      <c r="L73" s="1">
        <v>45808</v>
      </c>
      <c r="M73" t="s">
        <v>85</v>
      </c>
      <c r="N73" t="s">
        <v>26</v>
      </c>
      <c r="O73">
        <v>99448.38</v>
      </c>
      <c r="P73">
        <v>63646.96</v>
      </c>
      <c r="Q73">
        <v>35801.42</v>
      </c>
      <c r="R73" t="s">
        <v>27</v>
      </c>
      <c r="S73">
        <f t="shared" si="3"/>
        <v>7</v>
      </c>
      <c r="T73" s="2">
        <f t="shared" si="4"/>
        <v>0.63999996782250246</v>
      </c>
      <c r="U73" s="2">
        <f t="shared" si="5"/>
        <v>0.36000003217749749</v>
      </c>
    </row>
    <row r="74" spans="1:21" x14ac:dyDescent="0.3">
      <c r="A74">
        <v>10073</v>
      </c>
      <c r="B74" t="s">
        <v>80</v>
      </c>
      <c r="C74" t="s">
        <v>81</v>
      </c>
      <c r="D74" t="s">
        <v>20</v>
      </c>
      <c r="E74">
        <v>65</v>
      </c>
      <c r="F74" t="s">
        <v>40</v>
      </c>
      <c r="G74" t="s">
        <v>55</v>
      </c>
      <c r="H74" t="s">
        <v>56</v>
      </c>
      <c r="I74" t="s">
        <v>49</v>
      </c>
      <c r="J74">
        <v>10</v>
      </c>
      <c r="K74" s="1">
        <v>45868</v>
      </c>
      <c r="L74" s="1">
        <v>45880</v>
      </c>
      <c r="M74" t="s">
        <v>101</v>
      </c>
      <c r="N74" t="s">
        <v>26</v>
      </c>
      <c r="O74">
        <v>41772.25</v>
      </c>
      <c r="P74">
        <v>29240.57</v>
      </c>
      <c r="Q74">
        <v>12531.68</v>
      </c>
      <c r="R74" t="s">
        <v>27</v>
      </c>
      <c r="S74">
        <f t="shared" si="3"/>
        <v>12</v>
      </c>
      <c r="T74" s="2">
        <f t="shared" si="4"/>
        <v>0.69999988030331139</v>
      </c>
      <c r="U74" s="2">
        <f t="shared" si="5"/>
        <v>0.30000011969668861</v>
      </c>
    </row>
    <row r="75" spans="1:21" x14ac:dyDescent="0.3">
      <c r="A75">
        <v>10074</v>
      </c>
      <c r="B75" t="s">
        <v>99</v>
      </c>
      <c r="C75" t="s">
        <v>100</v>
      </c>
      <c r="D75" t="s">
        <v>30</v>
      </c>
      <c r="E75">
        <v>68</v>
      </c>
      <c r="F75" t="s">
        <v>69</v>
      </c>
      <c r="G75" t="s">
        <v>36</v>
      </c>
      <c r="H75" t="s">
        <v>37</v>
      </c>
      <c r="I75" t="s">
        <v>24</v>
      </c>
      <c r="J75">
        <v>12</v>
      </c>
      <c r="K75" s="1">
        <v>45772</v>
      </c>
      <c r="L75" s="1">
        <v>45778</v>
      </c>
      <c r="M75" t="s">
        <v>25</v>
      </c>
      <c r="N75" t="s">
        <v>26</v>
      </c>
      <c r="O75">
        <v>155772.32</v>
      </c>
      <c r="P75">
        <v>109040.62</v>
      </c>
      <c r="Q75">
        <v>46731.7</v>
      </c>
      <c r="R75" t="s">
        <v>32</v>
      </c>
      <c r="S75">
        <f t="shared" si="3"/>
        <v>6</v>
      </c>
      <c r="T75" s="2">
        <f t="shared" si="4"/>
        <v>0.69999997432149685</v>
      </c>
      <c r="U75" s="2">
        <f t="shared" si="5"/>
        <v>0.30000002567850304</v>
      </c>
    </row>
    <row r="76" spans="1:21" x14ac:dyDescent="0.3">
      <c r="A76">
        <v>10075</v>
      </c>
      <c r="B76" t="s">
        <v>97</v>
      </c>
      <c r="C76" t="s">
        <v>98</v>
      </c>
      <c r="D76" t="s">
        <v>20</v>
      </c>
      <c r="E76">
        <v>43</v>
      </c>
      <c r="F76" t="s">
        <v>69</v>
      </c>
      <c r="G76" t="s">
        <v>36</v>
      </c>
      <c r="H76" t="s">
        <v>37</v>
      </c>
      <c r="I76" t="s">
        <v>24</v>
      </c>
      <c r="J76">
        <v>12</v>
      </c>
      <c r="K76" s="1">
        <v>45910</v>
      </c>
      <c r="L76" s="1">
        <v>45921</v>
      </c>
      <c r="M76" t="s">
        <v>76</v>
      </c>
      <c r="N76" t="s">
        <v>26</v>
      </c>
      <c r="O76">
        <v>190092.83</v>
      </c>
      <c r="P76">
        <v>152074.26</v>
      </c>
      <c r="Q76">
        <v>38018.57</v>
      </c>
      <c r="R76" t="s">
        <v>32</v>
      </c>
      <c r="S76">
        <f t="shared" si="3"/>
        <v>11</v>
      </c>
      <c r="T76" s="2">
        <f t="shared" si="4"/>
        <v>0.7999999789576494</v>
      </c>
      <c r="U76" s="2">
        <f t="shared" si="5"/>
        <v>0.20000002104235073</v>
      </c>
    </row>
    <row r="77" spans="1:21" x14ac:dyDescent="0.3">
      <c r="A77">
        <v>10076</v>
      </c>
      <c r="B77" t="s">
        <v>135</v>
      </c>
      <c r="C77" t="s">
        <v>136</v>
      </c>
      <c r="D77" t="s">
        <v>30</v>
      </c>
      <c r="E77">
        <v>52</v>
      </c>
      <c r="F77" t="s">
        <v>35</v>
      </c>
      <c r="G77" t="s">
        <v>47</v>
      </c>
      <c r="H77" t="s">
        <v>48</v>
      </c>
      <c r="I77" t="s">
        <v>49</v>
      </c>
      <c r="J77">
        <v>8</v>
      </c>
      <c r="K77" s="1">
        <v>45994</v>
      </c>
      <c r="L77" s="1">
        <v>46005</v>
      </c>
      <c r="M77" t="s">
        <v>101</v>
      </c>
      <c r="N77" t="s">
        <v>26</v>
      </c>
      <c r="O77">
        <v>55707.79</v>
      </c>
      <c r="P77">
        <v>45123.31</v>
      </c>
      <c r="Q77">
        <v>10584.48</v>
      </c>
      <c r="R77" t="s">
        <v>32</v>
      </c>
      <c r="S77">
        <f t="shared" si="3"/>
        <v>11</v>
      </c>
      <c r="T77" s="2">
        <f t="shared" si="4"/>
        <v>0.81000000179508103</v>
      </c>
      <c r="U77" s="2">
        <f t="shared" si="5"/>
        <v>0.18999999820491892</v>
      </c>
    </row>
    <row r="78" spans="1:21" x14ac:dyDescent="0.3">
      <c r="A78">
        <v>10077</v>
      </c>
      <c r="B78" t="s">
        <v>28</v>
      </c>
      <c r="C78" t="s">
        <v>29</v>
      </c>
      <c r="D78" t="s">
        <v>30</v>
      </c>
      <c r="E78">
        <v>60</v>
      </c>
      <c r="F78" t="s">
        <v>31</v>
      </c>
      <c r="G78" t="s">
        <v>36</v>
      </c>
      <c r="H78" t="s">
        <v>37</v>
      </c>
      <c r="I78" t="s">
        <v>24</v>
      </c>
      <c r="J78">
        <v>12</v>
      </c>
      <c r="K78" s="1">
        <v>45721</v>
      </c>
      <c r="L78" s="1">
        <v>45724</v>
      </c>
      <c r="M78" t="s">
        <v>76</v>
      </c>
      <c r="N78" t="s">
        <v>26</v>
      </c>
      <c r="O78">
        <v>285617.52</v>
      </c>
      <c r="P78">
        <v>194219.91</v>
      </c>
      <c r="Q78">
        <v>91397.61</v>
      </c>
      <c r="R78" t="s">
        <v>32</v>
      </c>
      <c r="S78">
        <f t="shared" si="3"/>
        <v>3</v>
      </c>
      <c r="T78" s="2">
        <f t="shared" si="4"/>
        <v>0.6799999873957312</v>
      </c>
      <c r="U78" s="2">
        <f t="shared" si="5"/>
        <v>0.3200000126042688</v>
      </c>
    </row>
    <row r="79" spans="1:21" x14ac:dyDescent="0.3">
      <c r="A79">
        <v>10078</v>
      </c>
      <c r="B79" t="s">
        <v>94</v>
      </c>
      <c r="C79" t="s">
        <v>95</v>
      </c>
      <c r="D79" t="s">
        <v>30</v>
      </c>
      <c r="E79">
        <v>66</v>
      </c>
      <c r="F79" t="s">
        <v>54</v>
      </c>
      <c r="G79" t="s">
        <v>88</v>
      </c>
      <c r="H79" t="s">
        <v>89</v>
      </c>
      <c r="I79" t="s">
        <v>62</v>
      </c>
      <c r="J79">
        <v>14</v>
      </c>
      <c r="K79" s="1">
        <v>45663</v>
      </c>
      <c r="L79" s="1">
        <v>45675</v>
      </c>
      <c r="M79" t="s">
        <v>77</v>
      </c>
      <c r="N79" t="s">
        <v>26</v>
      </c>
      <c r="O79">
        <v>76963.710000000006</v>
      </c>
      <c r="P79">
        <v>53874.6</v>
      </c>
      <c r="Q79">
        <v>23089.11</v>
      </c>
      <c r="R79" t="s">
        <v>27</v>
      </c>
      <c r="S79">
        <f t="shared" si="3"/>
        <v>12</v>
      </c>
      <c r="T79" s="2">
        <f t="shared" si="4"/>
        <v>0.70000003897940988</v>
      </c>
      <c r="U79" s="2">
        <f t="shared" si="5"/>
        <v>0.29999996102059007</v>
      </c>
    </row>
    <row r="80" spans="1:21" x14ac:dyDescent="0.3">
      <c r="A80">
        <v>10079</v>
      </c>
      <c r="B80" t="s">
        <v>133</v>
      </c>
      <c r="C80" t="s">
        <v>134</v>
      </c>
      <c r="D80" t="s">
        <v>20</v>
      </c>
      <c r="E80">
        <v>56</v>
      </c>
      <c r="F80" t="s">
        <v>40</v>
      </c>
      <c r="G80" t="s">
        <v>47</v>
      </c>
      <c r="H80" t="s">
        <v>48</v>
      </c>
      <c r="I80" t="s">
        <v>49</v>
      </c>
      <c r="J80">
        <v>8</v>
      </c>
      <c r="K80" s="1">
        <v>45947</v>
      </c>
      <c r="L80" s="1">
        <v>45958</v>
      </c>
      <c r="M80" t="s">
        <v>101</v>
      </c>
      <c r="N80" t="s">
        <v>51</v>
      </c>
      <c r="O80">
        <v>37068.82</v>
      </c>
      <c r="P80">
        <v>27060.240000000002</v>
      </c>
      <c r="Q80">
        <v>10008.58</v>
      </c>
      <c r="R80" t="s">
        <v>27</v>
      </c>
      <c r="S80">
        <f t="shared" si="3"/>
        <v>11</v>
      </c>
      <c r="T80" s="2">
        <f t="shared" si="4"/>
        <v>0.73000003776759015</v>
      </c>
      <c r="U80" s="2">
        <f t="shared" si="5"/>
        <v>0.26999996223240991</v>
      </c>
    </row>
    <row r="81" spans="1:21" x14ac:dyDescent="0.3">
      <c r="A81">
        <v>10080</v>
      </c>
      <c r="B81" t="s">
        <v>18</v>
      </c>
      <c r="C81" t="s">
        <v>19</v>
      </c>
      <c r="D81" t="s">
        <v>20</v>
      </c>
      <c r="E81">
        <v>45</v>
      </c>
      <c r="F81" t="s">
        <v>21</v>
      </c>
      <c r="G81" t="s">
        <v>70</v>
      </c>
      <c r="H81" t="s">
        <v>71</v>
      </c>
      <c r="I81" t="s">
        <v>43</v>
      </c>
      <c r="J81">
        <v>11</v>
      </c>
      <c r="K81" s="1">
        <v>45746</v>
      </c>
      <c r="L81" s="1">
        <v>45755</v>
      </c>
      <c r="M81" t="s">
        <v>112</v>
      </c>
      <c r="N81" t="s">
        <v>26</v>
      </c>
      <c r="O81">
        <v>62383.98</v>
      </c>
      <c r="P81">
        <v>38678.07</v>
      </c>
      <c r="Q81">
        <v>23705.91</v>
      </c>
      <c r="R81" t="s">
        <v>32</v>
      </c>
      <c r="S81">
        <f t="shared" si="3"/>
        <v>9</v>
      </c>
      <c r="T81" s="2">
        <f t="shared" si="4"/>
        <v>0.62000003847141527</v>
      </c>
      <c r="U81" s="2">
        <f t="shared" si="5"/>
        <v>0.37999996152858473</v>
      </c>
    </row>
    <row r="82" spans="1:21" x14ac:dyDescent="0.3">
      <c r="A82">
        <v>10081</v>
      </c>
      <c r="B82" t="s">
        <v>92</v>
      </c>
      <c r="C82" t="s">
        <v>93</v>
      </c>
      <c r="D82" t="s">
        <v>20</v>
      </c>
      <c r="E82">
        <v>40</v>
      </c>
      <c r="F82" t="s">
        <v>54</v>
      </c>
      <c r="G82" t="s">
        <v>55</v>
      </c>
      <c r="H82" t="s">
        <v>56</v>
      </c>
      <c r="I82" t="s">
        <v>49</v>
      </c>
      <c r="J82">
        <v>10</v>
      </c>
      <c r="K82" s="1">
        <v>45961</v>
      </c>
      <c r="L82" s="1">
        <v>45964</v>
      </c>
      <c r="M82" t="s">
        <v>85</v>
      </c>
      <c r="N82" t="s">
        <v>26</v>
      </c>
      <c r="O82">
        <v>84834.42</v>
      </c>
      <c r="P82">
        <v>67867.539999999994</v>
      </c>
      <c r="Q82">
        <v>16966.88</v>
      </c>
      <c r="R82" t="s">
        <v>32</v>
      </c>
      <c r="S82">
        <f t="shared" si="3"/>
        <v>3</v>
      </c>
      <c r="T82" s="2">
        <f t="shared" si="4"/>
        <v>0.80000004715067297</v>
      </c>
      <c r="U82" s="2">
        <f t="shared" si="5"/>
        <v>0.19999995284932698</v>
      </c>
    </row>
    <row r="83" spans="1:21" x14ac:dyDescent="0.3">
      <c r="A83">
        <v>10082</v>
      </c>
      <c r="B83" t="s">
        <v>137</v>
      </c>
      <c r="C83" t="s">
        <v>138</v>
      </c>
      <c r="D83" t="s">
        <v>30</v>
      </c>
      <c r="E83">
        <v>56</v>
      </c>
      <c r="F83" t="s">
        <v>59</v>
      </c>
      <c r="G83" t="s">
        <v>22</v>
      </c>
      <c r="H83" t="s">
        <v>23</v>
      </c>
      <c r="I83" t="s">
        <v>24</v>
      </c>
      <c r="J83">
        <v>15</v>
      </c>
      <c r="K83" s="1">
        <v>45691</v>
      </c>
      <c r="L83" s="1">
        <v>45696</v>
      </c>
      <c r="M83" t="s">
        <v>66</v>
      </c>
      <c r="N83" t="s">
        <v>26</v>
      </c>
      <c r="O83">
        <v>74225.25</v>
      </c>
      <c r="P83">
        <v>58637.95</v>
      </c>
      <c r="Q83">
        <v>15587.3</v>
      </c>
      <c r="R83" t="s">
        <v>32</v>
      </c>
      <c r="S83">
        <f t="shared" si="3"/>
        <v>5</v>
      </c>
      <c r="T83" s="2">
        <f t="shared" si="4"/>
        <v>0.7900000336812607</v>
      </c>
      <c r="U83" s="2">
        <f t="shared" si="5"/>
        <v>0.20999996631873924</v>
      </c>
    </row>
    <row r="84" spans="1:21" x14ac:dyDescent="0.3">
      <c r="A84">
        <v>10083</v>
      </c>
      <c r="B84" t="s">
        <v>139</v>
      </c>
      <c r="C84" t="s">
        <v>140</v>
      </c>
      <c r="D84" t="s">
        <v>20</v>
      </c>
      <c r="E84">
        <v>21</v>
      </c>
      <c r="F84" t="s">
        <v>119</v>
      </c>
      <c r="G84" t="s">
        <v>60</v>
      </c>
      <c r="H84" t="s">
        <v>61</v>
      </c>
      <c r="I84" t="s">
        <v>62</v>
      </c>
      <c r="J84">
        <v>18</v>
      </c>
      <c r="K84" s="1">
        <v>45939</v>
      </c>
      <c r="L84" s="1">
        <v>45952</v>
      </c>
      <c r="M84" t="s">
        <v>77</v>
      </c>
      <c r="N84" t="s">
        <v>26</v>
      </c>
      <c r="O84">
        <v>78981.3</v>
      </c>
      <c r="P84">
        <v>49758.22</v>
      </c>
      <c r="Q84">
        <v>29223.08</v>
      </c>
      <c r="R84" t="s">
        <v>27</v>
      </c>
      <c r="S84">
        <f t="shared" si="3"/>
        <v>13</v>
      </c>
      <c r="T84" s="2">
        <f t="shared" si="4"/>
        <v>0.63000001266122485</v>
      </c>
      <c r="U84" s="2">
        <f t="shared" si="5"/>
        <v>0.36999998733877515</v>
      </c>
    </row>
    <row r="85" spans="1:21" x14ac:dyDescent="0.3">
      <c r="A85">
        <v>10084</v>
      </c>
      <c r="B85" t="s">
        <v>92</v>
      </c>
      <c r="C85" t="s">
        <v>93</v>
      </c>
      <c r="D85" t="s">
        <v>20</v>
      </c>
      <c r="E85">
        <v>40</v>
      </c>
      <c r="F85" t="s">
        <v>54</v>
      </c>
      <c r="G85" t="s">
        <v>22</v>
      </c>
      <c r="H85" t="s">
        <v>23</v>
      </c>
      <c r="I85" t="s">
        <v>24</v>
      </c>
      <c r="J85">
        <v>15</v>
      </c>
      <c r="K85" s="1">
        <v>45667</v>
      </c>
      <c r="L85" s="1">
        <v>45677</v>
      </c>
      <c r="M85" t="s">
        <v>76</v>
      </c>
      <c r="N85" t="s">
        <v>26</v>
      </c>
      <c r="O85">
        <v>380539.66</v>
      </c>
      <c r="P85">
        <v>277793.95</v>
      </c>
      <c r="Q85">
        <v>102745.71</v>
      </c>
      <c r="R85" t="s">
        <v>27</v>
      </c>
      <c r="S85">
        <f t="shared" si="3"/>
        <v>10</v>
      </c>
      <c r="T85" s="2">
        <f t="shared" si="4"/>
        <v>0.72999999526987547</v>
      </c>
      <c r="U85" s="2">
        <f t="shared" si="5"/>
        <v>0.27000000473012464</v>
      </c>
    </row>
    <row r="86" spans="1:21" x14ac:dyDescent="0.3">
      <c r="A86">
        <v>10085</v>
      </c>
      <c r="B86" t="s">
        <v>123</v>
      </c>
      <c r="C86" t="s">
        <v>124</v>
      </c>
      <c r="D86" t="s">
        <v>30</v>
      </c>
      <c r="E86">
        <v>65</v>
      </c>
      <c r="F86" t="s">
        <v>35</v>
      </c>
      <c r="G86" t="s">
        <v>22</v>
      </c>
      <c r="H86" t="s">
        <v>23</v>
      </c>
      <c r="I86" t="s">
        <v>24</v>
      </c>
      <c r="J86">
        <v>15</v>
      </c>
      <c r="K86" s="1">
        <v>45713</v>
      </c>
      <c r="L86" s="1">
        <v>45727</v>
      </c>
      <c r="M86" t="s">
        <v>66</v>
      </c>
      <c r="N86" t="s">
        <v>26</v>
      </c>
      <c r="O86">
        <v>42300.38</v>
      </c>
      <c r="P86">
        <v>35532.32</v>
      </c>
      <c r="Q86">
        <v>6768.06</v>
      </c>
      <c r="R86" t="s">
        <v>32</v>
      </c>
      <c r="S86">
        <f t="shared" si="3"/>
        <v>14</v>
      </c>
      <c r="T86" s="2">
        <f t="shared" si="4"/>
        <v>0.84000001891235965</v>
      </c>
      <c r="U86" s="2">
        <f t="shared" si="5"/>
        <v>0.15999998108764038</v>
      </c>
    </row>
    <row r="87" spans="1:21" x14ac:dyDescent="0.3">
      <c r="A87">
        <v>10086</v>
      </c>
      <c r="B87" t="s">
        <v>82</v>
      </c>
      <c r="C87" t="s">
        <v>83</v>
      </c>
      <c r="D87" t="s">
        <v>20</v>
      </c>
      <c r="E87">
        <v>74</v>
      </c>
      <c r="F87" t="s">
        <v>84</v>
      </c>
      <c r="G87" t="s">
        <v>70</v>
      </c>
      <c r="H87" t="s">
        <v>71</v>
      </c>
      <c r="I87" t="s">
        <v>43</v>
      </c>
      <c r="J87">
        <v>11</v>
      </c>
      <c r="K87" s="1">
        <v>45729</v>
      </c>
      <c r="L87" s="1">
        <v>45734</v>
      </c>
      <c r="M87" t="s">
        <v>72</v>
      </c>
      <c r="N87" t="s">
        <v>26</v>
      </c>
      <c r="O87">
        <v>14007.41</v>
      </c>
      <c r="P87">
        <v>11626.15</v>
      </c>
      <c r="Q87">
        <v>2381.2600000000002</v>
      </c>
      <c r="R87" t="s">
        <v>27</v>
      </c>
      <c r="S87">
        <f t="shared" si="3"/>
        <v>5</v>
      </c>
      <c r="T87" s="2">
        <f t="shared" si="4"/>
        <v>0.82999997858276442</v>
      </c>
      <c r="U87" s="2">
        <f t="shared" si="5"/>
        <v>0.17000002141723561</v>
      </c>
    </row>
    <row r="88" spans="1:21" x14ac:dyDescent="0.3">
      <c r="A88">
        <v>10087</v>
      </c>
      <c r="B88" t="s">
        <v>141</v>
      </c>
      <c r="C88" t="s">
        <v>142</v>
      </c>
      <c r="D88" t="s">
        <v>30</v>
      </c>
      <c r="E88">
        <v>47</v>
      </c>
      <c r="F88" t="s">
        <v>54</v>
      </c>
      <c r="G88" t="s">
        <v>41</v>
      </c>
      <c r="H88" t="s">
        <v>42</v>
      </c>
      <c r="I88" t="s">
        <v>43</v>
      </c>
      <c r="J88">
        <v>9</v>
      </c>
      <c r="K88" s="1">
        <v>45857</v>
      </c>
      <c r="L88" s="1">
        <v>45869</v>
      </c>
      <c r="M88" t="s">
        <v>112</v>
      </c>
      <c r="N88" t="s">
        <v>26</v>
      </c>
      <c r="O88">
        <v>58686.879999999997</v>
      </c>
      <c r="P88">
        <v>38733.339999999997</v>
      </c>
      <c r="Q88">
        <v>19953.54</v>
      </c>
      <c r="R88" t="s">
        <v>27</v>
      </c>
      <c r="S88">
        <f t="shared" si="3"/>
        <v>12</v>
      </c>
      <c r="T88" s="2">
        <f t="shared" si="4"/>
        <v>0.65999998636833301</v>
      </c>
      <c r="U88" s="2">
        <f t="shared" si="5"/>
        <v>0.34000001363166693</v>
      </c>
    </row>
    <row r="89" spans="1:21" x14ac:dyDescent="0.3">
      <c r="A89">
        <v>10088</v>
      </c>
      <c r="B89" t="s">
        <v>64</v>
      </c>
      <c r="C89" t="s">
        <v>65</v>
      </c>
      <c r="D89" t="s">
        <v>20</v>
      </c>
      <c r="E89">
        <v>27</v>
      </c>
      <c r="F89" t="s">
        <v>31</v>
      </c>
      <c r="G89" t="s">
        <v>47</v>
      </c>
      <c r="H89" t="s">
        <v>48</v>
      </c>
      <c r="I89" t="s">
        <v>49</v>
      </c>
      <c r="J89">
        <v>8</v>
      </c>
      <c r="K89" s="1">
        <v>45918</v>
      </c>
      <c r="L89" s="1">
        <v>45924</v>
      </c>
      <c r="M89" t="s">
        <v>85</v>
      </c>
      <c r="N89" t="s">
        <v>26</v>
      </c>
      <c r="O89">
        <v>132460.21</v>
      </c>
      <c r="P89">
        <v>92722.15</v>
      </c>
      <c r="Q89">
        <v>39738.06</v>
      </c>
      <c r="R89" t="s">
        <v>27</v>
      </c>
      <c r="S89">
        <f t="shared" si="3"/>
        <v>6</v>
      </c>
      <c r="T89" s="2">
        <f t="shared" si="4"/>
        <v>0.70000002264831074</v>
      </c>
      <c r="U89" s="2">
        <f t="shared" si="5"/>
        <v>0.29999997735168926</v>
      </c>
    </row>
    <row r="90" spans="1:21" x14ac:dyDescent="0.3">
      <c r="A90">
        <v>10089</v>
      </c>
      <c r="B90" t="s">
        <v>108</v>
      </c>
      <c r="C90" t="s">
        <v>109</v>
      </c>
      <c r="D90" t="s">
        <v>20</v>
      </c>
      <c r="E90">
        <v>34</v>
      </c>
      <c r="F90" t="s">
        <v>40</v>
      </c>
      <c r="G90" t="s">
        <v>41</v>
      </c>
      <c r="H90" t="s">
        <v>42</v>
      </c>
      <c r="I90" t="s">
        <v>43</v>
      </c>
      <c r="J90">
        <v>9</v>
      </c>
      <c r="K90" s="1">
        <v>45780</v>
      </c>
      <c r="L90" s="1">
        <v>45782</v>
      </c>
      <c r="M90" t="s">
        <v>44</v>
      </c>
      <c r="N90" t="s">
        <v>26</v>
      </c>
      <c r="O90">
        <v>30163.439999999999</v>
      </c>
      <c r="P90">
        <v>19304.599999999999</v>
      </c>
      <c r="Q90">
        <v>10858.84</v>
      </c>
      <c r="R90" t="s">
        <v>32</v>
      </c>
      <c r="S90">
        <f t="shared" si="3"/>
        <v>2</v>
      </c>
      <c r="T90" s="2">
        <f t="shared" si="4"/>
        <v>0.63999994695565221</v>
      </c>
      <c r="U90" s="2">
        <f t="shared" si="5"/>
        <v>0.36000005304434773</v>
      </c>
    </row>
    <row r="91" spans="1:21" x14ac:dyDescent="0.3">
      <c r="A91">
        <v>10090</v>
      </c>
      <c r="B91" t="s">
        <v>125</v>
      </c>
      <c r="C91" t="s">
        <v>126</v>
      </c>
      <c r="D91" t="s">
        <v>30</v>
      </c>
      <c r="E91">
        <v>73</v>
      </c>
      <c r="F91" t="s">
        <v>21</v>
      </c>
      <c r="G91" t="s">
        <v>60</v>
      </c>
      <c r="H91" t="s">
        <v>61</v>
      </c>
      <c r="I91" t="s">
        <v>62</v>
      </c>
      <c r="J91">
        <v>18</v>
      </c>
      <c r="K91" s="1">
        <v>45819</v>
      </c>
      <c r="L91" s="1">
        <v>45826</v>
      </c>
      <c r="M91" t="s">
        <v>96</v>
      </c>
      <c r="N91" t="s">
        <v>26</v>
      </c>
      <c r="O91">
        <v>177384.91</v>
      </c>
      <c r="P91">
        <v>140134.07999999999</v>
      </c>
      <c r="Q91">
        <v>37250.83</v>
      </c>
      <c r="R91" t="s">
        <v>32</v>
      </c>
      <c r="S91">
        <f t="shared" si="3"/>
        <v>7</v>
      </c>
      <c r="T91" s="2">
        <f t="shared" si="4"/>
        <v>0.79000000620120381</v>
      </c>
      <c r="U91" s="2">
        <f t="shared" si="5"/>
        <v>0.20999999379879608</v>
      </c>
    </row>
    <row r="92" spans="1:21" x14ac:dyDescent="0.3">
      <c r="A92">
        <v>10091</v>
      </c>
      <c r="B92" t="s">
        <v>143</v>
      </c>
      <c r="C92" t="s">
        <v>74</v>
      </c>
      <c r="D92" t="s">
        <v>20</v>
      </c>
      <c r="E92">
        <v>35</v>
      </c>
      <c r="F92" t="s">
        <v>119</v>
      </c>
      <c r="G92" t="s">
        <v>41</v>
      </c>
      <c r="H92" t="s">
        <v>42</v>
      </c>
      <c r="I92" t="s">
        <v>43</v>
      </c>
      <c r="J92">
        <v>9</v>
      </c>
      <c r="K92" s="1">
        <v>45816</v>
      </c>
      <c r="L92" s="1">
        <v>45825</v>
      </c>
      <c r="M92" t="s">
        <v>44</v>
      </c>
      <c r="N92" t="s">
        <v>26</v>
      </c>
      <c r="O92">
        <v>19383.73</v>
      </c>
      <c r="P92">
        <v>15894.66</v>
      </c>
      <c r="Q92">
        <v>3489.07</v>
      </c>
      <c r="R92" t="s">
        <v>32</v>
      </c>
      <c r="S92">
        <f t="shared" si="3"/>
        <v>9</v>
      </c>
      <c r="T92" s="2">
        <f t="shared" si="4"/>
        <v>0.82000007222552107</v>
      </c>
      <c r="U92" s="2">
        <f t="shared" si="5"/>
        <v>0.17999992777447893</v>
      </c>
    </row>
    <row r="93" spans="1:21" x14ac:dyDescent="0.3">
      <c r="A93">
        <v>10092</v>
      </c>
      <c r="B93" t="s">
        <v>117</v>
      </c>
      <c r="C93" t="s">
        <v>118</v>
      </c>
      <c r="D93" t="s">
        <v>20</v>
      </c>
      <c r="E93">
        <v>65</v>
      </c>
      <c r="F93" t="s">
        <v>119</v>
      </c>
      <c r="G93" t="s">
        <v>70</v>
      </c>
      <c r="H93" t="s">
        <v>71</v>
      </c>
      <c r="I93" t="s">
        <v>43</v>
      </c>
      <c r="J93">
        <v>11</v>
      </c>
      <c r="K93" s="1">
        <v>45895</v>
      </c>
      <c r="L93" s="1">
        <v>45897</v>
      </c>
      <c r="M93" t="s">
        <v>44</v>
      </c>
      <c r="N93" t="s">
        <v>51</v>
      </c>
      <c r="O93">
        <v>24857.66</v>
      </c>
      <c r="P93">
        <v>16654.63</v>
      </c>
      <c r="Q93">
        <v>8203.0300000000007</v>
      </c>
      <c r="R93" t="s">
        <v>32</v>
      </c>
      <c r="S93">
        <f t="shared" si="3"/>
        <v>2</v>
      </c>
      <c r="T93" s="2">
        <f t="shared" si="4"/>
        <v>0.66999991149609417</v>
      </c>
      <c r="U93" s="2">
        <f t="shared" si="5"/>
        <v>0.33000008850390589</v>
      </c>
    </row>
    <row r="94" spans="1:21" x14ac:dyDescent="0.3">
      <c r="A94">
        <v>10093</v>
      </c>
      <c r="B94" t="s">
        <v>99</v>
      </c>
      <c r="C94" t="s">
        <v>100</v>
      </c>
      <c r="D94" t="s">
        <v>30</v>
      </c>
      <c r="E94">
        <v>68</v>
      </c>
      <c r="F94" t="s">
        <v>69</v>
      </c>
      <c r="G94" t="s">
        <v>22</v>
      </c>
      <c r="H94" t="s">
        <v>23</v>
      </c>
      <c r="I94" t="s">
        <v>24</v>
      </c>
      <c r="J94">
        <v>15</v>
      </c>
      <c r="K94" s="1">
        <v>45667</v>
      </c>
      <c r="L94" s="1">
        <v>45671</v>
      </c>
      <c r="M94" t="s">
        <v>76</v>
      </c>
      <c r="N94" t="s">
        <v>26</v>
      </c>
      <c r="O94">
        <v>240017.23</v>
      </c>
      <c r="P94">
        <v>158411.37</v>
      </c>
      <c r="Q94">
        <v>81605.86</v>
      </c>
      <c r="R94" t="s">
        <v>32</v>
      </c>
      <c r="S94">
        <f t="shared" si="3"/>
        <v>4</v>
      </c>
      <c r="T94" s="2">
        <f t="shared" si="4"/>
        <v>0.65999999250053831</v>
      </c>
      <c r="U94" s="2">
        <f t="shared" si="5"/>
        <v>0.34000000749946158</v>
      </c>
    </row>
    <row r="95" spans="1:21" x14ac:dyDescent="0.3">
      <c r="A95">
        <v>10094</v>
      </c>
      <c r="B95" t="s">
        <v>78</v>
      </c>
      <c r="C95" t="s">
        <v>79</v>
      </c>
      <c r="D95" t="s">
        <v>20</v>
      </c>
      <c r="E95">
        <v>67</v>
      </c>
      <c r="F95" t="s">
        <v>35</v>
      </c>
      <c r="G95" t="s">
        <v>41</v>
      </c>
      <c r="H95" t="s">
        <v>42</v>
      </c>
      <c r="I95" t="s">
        <v>43</v>
      </c>
      <c r="J95">
        <v>9</v>
      </c>
      <c r="K95" s="1">
        <v>45680</v>
      </c>
      <c r="L95" s="1">
        <v>45686</v>
      </c>
      <c r="M95" t="s">
        <v>44</v>
      </c>
      <c r="N95" t="s">
        <v>26</v>
      </c>
      <c r="O95">
        <v>33750.97</v>
      </c>
      <c r="P95">
        <v>26663.27</v>
      </c>
      <c r="Q95">
        <v>7087.7</v>
      </c>
      <c r="R95" t="s">
        <v>32</v>
      </c>
      <c r="S95">
        <f t="shared" si="3"/>
        <v>6</v>
      </c>
      <c r="T95" s="2">
        <f t="shared" si="4"/>
        <v>0.79000010962647882</v>
      </c>
      <c r="U95" s="2">
        <f t="shared" si="5"/>
        <v>0.2099998903735211</v>
      </c>
    </row>
    <row r="96" spans="1:21" x14ac:dyDescent="0.3">
      <c r="A96">
        <v>10095</v>
      </c>
      <c r="B96" t="s">
        <v>144</v>
      </c>
      <c r="C96" t="s">
        <v>145</v>
      </c>
      <c r="D96" t="s">
        <v>30</v>
      </c>
      <c r="E96">
        <v>37</v>
      </c>
      <c r="F96" t="s">
        <v>40</v>
      </c>
      <c r="G96" t="s">
        <v>88</v>
      </c>
      <c r="H96" t="s">
        <v>89</v>
      </c>
      <c r="I96" t="s">
        <v>62</v>
      </c>
      <c r="J96">
        <v>14</v>
      </c>
      <c r="K96" s="1">
        <v>45866</v>
      </c>
      <c r="L96" s="1">
        <v>45879</v>
      </c>
      <c r="M96" t="s">
        <v>77</v>
      </c>
      <c r="N96" t="s">
        <v>26</v>
      </c>
      <c r="O96">
        <v>49774.64</v>
      </c>
      <c r="P96">
        <v>38824.22</v>
      </c>
      <c r="Q96">
        <v>10950.42</v>
      </c>
      <c r="R96" t="s">
        <v>32</v>
      </c>
      <c r="S96">
        <f t="shared" si="3"/>
        <v>13</v>
      </c>
      <c r="T96" s="2">
        <f t="shared" si="4"/>
        <v>0.78000001607244174</v>
      </c>
      <c r="U96" s="2">
        <f t="shared" si="5"/>
        <v>0.21999998392755829</v>
      </c>
    </row>
    <row r="97" spans="1:21" x14ac:dyDescent="0.3">
      <c r="A97">
        <v>10096</v>
      </c>
      <c r="B97" t="s">
        <v>28</v>
      </c>
      <c r="C97" t="s">
        <v>29</v>
      </c>
      <c r="D97" t="s">
        <v>30</v>
      </c>
      <c r="E97">
        <v>60</v>
      </c>
      <c r="F97" t="s">
        <v>31</v>
      </c>
      <c r="G97" t="s">
        <v>47</v>
      </c>
      <c r="H97" t="s">
        <v>48</v>
      </c>
      <c r="I97" t="s">
        <v>49</v>
      </c>
      <c r="J97">
        <v>8</v>
      </c>
      <c r="K97" s="1">
        <v>45741</v>
      </c>
      <c r="L97" s="1">
        <v>45749</v>
      </c>
      <c r="M97" t="s">
        <v>85</v>
      </c>
      <c r="N97" t="s">
        <v>26</v>
      </c>
      <c r="O97">
        <v>54465.3</v>
      </c>
      <c r="P97">
        <v>39215.019999999997</v>
      </c>
      <c r="Q97">
        <v>15250.28</v>
      </c>
      <c r="R97" t="s">
        <v>32</v>
      </c>
      <c r="S97">
        <f t="shared" si="3"/>
        <v>8</v>
      </c>
      <c r="T97" s="2">
        <f t="shared" si="4"/>
        <v>0.72000007344125516</v>
      </c>
      <c r="U97" s="2">
        <f t="shared" si="5"/>
        <v>0.27999992655874473</v>
      </c>
    </row>
    <row r="98" spans="1:21" x14ac:dyDescent="0.3">
      <c r="A98">
        <v>10097</v>
      </c>
      <c r="B98" t="s">
        <v>146</v>
      </c>
      <c r="C98" t="s">
        <v>147</v>
      </c>
      <c r="D98" t="s">
        <v>30</v>
      </c>
      <c r="E98">
        <v>75</v>
      </c>
      <c r="F98" t="s">
        <v>84</v>
      </c>
      <c r="G98" t="s">
        <v>41</v>
      </c>
      <c r="H98" t="s">
        <v>42</v>
      </c>
      <c r="I98" t="s">
        <v>43</v>
      </c>
      <c r="J98">
        <v>9</v>
      </c>
      <c r="K98" s="1">
        <v>45706</v>
      </c>
      <c r="L98" s="1">
        <v>45711</v>
      </c>
      <c r="M98" t="s">
        <v>112</v>
      </c>
      <c r="N98" t="s">
        <v>51</v>
      </c>
      <c r="O98">
        <v>41727.57</v>
      </c>
      <c r="P98">
        <v>35051.160000000003</v>
      </c>
      <c r="Q98">
        <v>6676.41</v>
      </c>
      <c r="R98" t="s">
        <v>32</v>
      </c>
      <c r="S98">
        <f t="shared" si="3"/>
        <v>5</v>
      </c>
      <c r="T98" s="2">
        <f t="shared" si="4"/>
        <v>0.8400000287579652</v>
      </c>
      <c r="U98" s="2">
        <f t="shared" si="5"/>
        <v>0.15999997124203494</v>
      </c>
    </row>
    <row r="99" spans="1:21" x14ac:dyDescent="0.3">
      <c r="A99">
        <v>10098</v>
      </c>
      <c r="B99" t="s">
        <v>148</v>
      </c>
      <c r="C99" t="s">
        <v>149</v>
      </c>
      <c r="D99" t="s">
        <v>30</v>
      </c>
      <c r="E99">
        <v>19</v>
      </c>
      <c r="F99" t="s">
        <v>21</v>
      </c>
      <c r="G99" t="s">
        <v>70</v>
      </c>
      <c r="H99" t="s">
        <v>71</v>
      </c>
      <c r="I99" t="s">
        <v>43</v>
      </c>
      <c r="J99">
        <v>11</v>
      </c>
      <c r="K99" s="1">
        <v>45913</v>
      </c>
      <c r="L99" s="1">
        <v>45927</v>
      </c>
      <c r="M99" t="s">
        <v>112</v>
      </c>
      <c r="N99" t="s">
        <v>26</v>
      </c>
      <c r="O99">
        <v>74739.75</v>
      </c>
      <c r="P99">
        <v>59044.4</v>
      </c>
      <c r="Q99">
        <v>15695.35</v>
      </c>
      <c r="R99" t="s">
        <v>32</v>
      </c>
      <c r="S99">
        <f t="shared" si="3"/>
        <v>14</v>
      </c>
      <c r="T99" s="2">
        <f t="shared" si="4"/>
        <v>0.78999996655059723</v>
      </c>
      <c r="U99" s="2">
        <f t="shared" si="5"/>
        <v>0.21000003344940277</v>
      </c>
    </row>
    <row r="100" spans="1:21" x14ac:dyDescent="0.3">
      <c r="A100">
        <v>10099</v>
      </c>
      <c r="B100" t="s">
        <v>143</v>
      </c>
      <c r="C100" t="s">
        <v>74</v>
      </c>
      <c r="D100" t="s">
        <v>20</v>
      </c>
      <c r="E100">
        <v>35</v>
      </c>
      <c r="F100" t="s">
        <v>119</v>
      </c>
      <c r="G100" t="s">
        <v>60</v>
      </c>
      <c r="H100" t="s">
        <v>61</v>
      </c>
      <c r="I100" t="s">
        <v>62</v>
      </c>
      <c r="J100">
        <v>18</v>
      </c>
      <c r="K100" s="1">
        <v>45748</v>
      </c>
      <c r="L100" s="1">
        <v>45755</v>
      </c>
      <c r="M100" t="s">
        <v>63</v>
      </c>
      <c r="N100" t="s">
        <v>51</v>
      </c>
      <c r="O100">
        <v>16139.75</v>
      </c>
      <c r="P100">
        <v>13234.59</v>
      </c>
      <c r="Q100">
        <v>2905.16</v>
      </c>
      <c r="R100" t="s">
        <v>32</v>
      </c>
      <c r="S100">
        <f t="shared" si="3"/>
        <v>7</v>
      </c>
      <c r="T100" s="2">
        <f t="shared" si="4"/>
        <v>0.81999969020585817</v>
      </c>
      <c r="U100" s="2">
        <f t="shared" si="5"/>
        <v>0.18000030979414178</v>
      </c>
    </row>
    <row r="101" spans="1:21" x14ac:dyDescent="0.3">
      <c r="A101">
        <v>10100</v>
      </c>
      <c r="B101" t="s">
        <v>150</v>
      </c>
      <c r="C101" t="s">
        <v>151</v>
      </c>
      <c r="D101" t="s">
        <v>30</v>
      </c>
      <c r="E101">
        <v>47</v>
      </c>
      <c r="F101" t="s">
        <v>54</v>
      </c>
      <c r="G101" t="s">
        <v>22</v>
      </c>
      <c r="H101" t="s">
        <v>23</v>
      </c>
      <c r="I101" t="s">
        <v>24</v>
      </c>
      <c r="J101">
        <v>15</v>
      </c>
      <c r="K101" s="1">
        <v>45792</v>
      </c>
      <c r="L101" s="1">
        <v>45805</v>
      </c>
      <c r="M101" t="s">
        <v>66</v>
      </c>
      <c r="N101" t="s">
        <v>51</v>
      </c>
      <c r="O101">
        <v>35004.080000000002</v>
      </c>
      <c r="P101">
        <v>25903.02</v>
      </c>
      <c r="Q101">
        <v>9101.06</v>
      </c>
      <c r="R101" t="s">
        <v>32</v>
      </c>
      <c r="S101">
        <f t="shared" si="3"/>
        <v>13</v>
      </c>
      <c r="T101" s="2">
        <f t="shared" si="4"/>
        <v>0.74000002285447863</v>
      </c>
      <c r="U101" s="2">
        <f t="shared" si="5"/>
        <v>0.25999997714552131</v>
      </c>
    </row>
    <row r="102" spans="1:21" x14ac:dyDescent="0.3">
      <c r="A102">
        <v>10101</v>
      </c>
      <c r="B102" t="s">
        <v>99</v>
      </c>
      <c r="C102" t="s">
        <v>100</v>
      </c>
      <c r="D102" t="s">
        <v>30</v>
      </c>
      <c r="E102">
        <v>68</v>
      </c>
      <c r="F102" t="s">
        <v>69</v>
      </c>
      <c r="G102" t="s">
        <v>55</v>
      </c>
      <c r="H102" t="s">
        <v>56</v>
      </c>
      <c r="I102" t="s">
        <v>49</v>
      </c>
      <c r="J102">
        <v>10</v>
      </c>
      <c r="K102" s="1">
        <v>45759</v>
      </c>
      <c r="L102" s="1">
        <v>45771</v>
      </c>
      <c r="M102" t="s">
        <v>50</v>
      </c>
      <c r="N102" t="s">
        <v>51</v>
      </c>
      <c r="O102">
        <v>193777.6</v>
      </c>
      <c r="P102">
        <v>127893.22</v>
      </c>
      <c r="Q102">
        <v>65884.38</v>
      </c>
      <c r="R102" t="s">
        <v>32</v>
      </c>
      <c r="S102">
        <f t="shared" si="3"/>
        <v>12</v>
      </c>
      <c r="T102" s="2">
        <f t="shared" si="4"/>
        <v>0.66000002064222074</v>
      </c>
      <c r="U102" s="2">
        <f t="shared" si="5"/>
        <v>0.33999997935777926</v>
      </c>
    </row>
    <row r="103" spans="1:21" x14ac:dyDescent="0.3">
      <c r="A103">
        <v>10102</v>
      </c>
      <c r="B103" t="s">
        <v>64</v>
      </c>
      <c r="C103" t="s">
        <v>65</v>
      </c>
      <c r="D103" t="s">
        <v>20</v>
      </c>
      <c r="E103">
        <v>27</v>
      </c>
      <c r="F103" t="s">
        <v>31</v>
      </c>
      <c r="G103" t="s">
        <v>36</v>
      </c>
      <c r="H103" t="s">
        <v>37</v>
      </c>
      <c r="I103" t="s">
        <v>24</v>
      </c>
      <c r="J103">
        <v>12</v>
      </c>
      <c r="K103" s="1">
        <v>45996</v>
      </c>
      <c r="L103" s="1">
        <v>46003</v>
      </c>
      <c r="M103" t="s">
        <v>66</v>
      </c>
      <c r="N103" t="s">
        <v>26</v>
      </c>
      <c r="O103">
        <v>55240.89</v>
      </c>
      <c r="P103">
        <v>39773.440000000002</v>
      </c>
      <c r="Q103">
        <v>15467.45</v>
      </c>
      <c r="R103" t="s">
        <v>27</v>
      </c>
      <c r="S103">
        <f t="shared" si="3"/>
        <v>7</v>
      </c>
      <c r="T103" s="2">
        <f t="shared" si="4"/>
        <v>0.71999998551797417</v>
      </c>
      <c r="U103" s="2">
        <f t="shared" si="5"/>
        <v>0.28000001448202594</v>
      </c>
    </row>
    <row r="104" spans="1:21" x14ac:dyDescent="0.3">
      <c r="A104">
        <v>10103</v>
      </c>
      <c r="B104" t="s">
        <v>152</v>
      </c>
      <c r="C104" t="s">
        <v>153</v>
      </c>
      <c r="D104" t="s">
        <v>20</v>
      </c>
      <c r="E104">
        <v>27</v>
      </c>
      <c r="F104" t="s">
        <v>59</v>
      </c>
      <c r="G104" t="s">
        <v>36</v>
      </c>
      <c r="H104" t="s">
        <v>37</v>
      </c>
      <c r="I104" t="s">
        <v>24</v>
      </c>
      <c r="J104">
        <v>12</v>
      </c>
      <c r="K104" s="1">
        <v>45743</v>
      </c>
      <c r="L104" s="1">
        <v>45747</v>
      </c>
      <c r="M104" t="s">
        <v>66</v>
      </c>
      <c r="N104" t="s">
        <v>26</v>
      </c>
      <c r="O104">
        <v>65632.2</v>
      </c>
      <c r="P104">
        <v>54474.73</v>
      </c>
      <c r="Q104">
        <v>11157.47</v>
      </c>
      <c r="R104" t="s">
        <v>27</v>
      </c>
      <c r="S104">
        <f t="shared" si="3"/>
        <v>4</v>
      </c>
      <c r="T104" s="2">
        <f t="shared" si="4"/>
        <v>0.83000006094569445</v>
      </c>
      <c r="U104" s="2">
        <f t="shared" si="5"/>
        <v>0.16999993905430566</v>
      </c>
    </row>
    <row r="105" spans="1:21" x14ac:dyDescent="0.3">
      <c r="A105">
        <v>10104</v>
      </c>
      <c r="B105" t="s">
        <v>133</v>
      </c>
      <c r="C105" t="s">
        <v>134</v>
      </c>
      <c r="D105" t="s">
        <v>20</v>
      </c>
      <c r="E105">
        <v>56</v>
      </c>
      <c r="F105" t="s">
        <v>40</v>
      </c>
      <c r="G105" t="s">
        <v>36</v>
      </c>
      <c r="H105" t="s">
        <v>37</v>
      </c>
      <c r="I105" t="s">
        <v>24</v>
      </c>
      <c r="J105">
        <v>12</v>
      </c>
      <c r="K105" s="1">
        <v>45660</v>
      </c>
      <c r="L105" s="1">
        <v>45665</v>
      </c>
      <c r="M105" t="s">
        <v>25</v>
      </c>
      <c r="N105" t="s">
        <v>51</v>
      </c>
      <c r="O105">
        <v>111837.25</v>
      </c>
      <c r="P105">
        <v>82759.570000000007</v>
      </c>
      <c r="Q105">
        <v>29077.68</v>
      </c>
      <c r="R105" t="s">
        <v>27</v>
      </c>
      <c r="S105">
        <f t="shared" si="3"/>
        <v>5</v>
      </c>
      <c r="T105" s="2">
        <f t="shared" si="4"/>
        <v>0.74000004470782321</v>
      </c>
      <c r="U105" s="2">
        <f t="shared" si="5"/>
        <v>0.25999995529217679</v>
      </c>
    </row>
    <row r="106" spans="1:21" x14ac:dyDescent="0.3">
      <c r="A106">
        <v>10105</v>
      </c>
      <c r="B106" t="s">
        <v>121</v>
      </c>
      <c r="C106" t="s">
        <v>122</v>
      </c>
      <c r="D106" t="s">
        <v>20</v>
      </c>
      <c r="E106">
        <v>23</v>
      </c>
      <c r="F106" t="s">
        <v>59</v>
      </c>
      <c r="G106" t="s">
        <v>22</v>
      </c>
      <c r="H106" t="s">
        <v>23</v>
      </c>
      <c r="I106" t="s">
        <v>24</v>
      </c>
      <c r="J106">
        <v>15</v>
      </c>
      <c r="K106" s="1">
        <v>45921</v>
      </c>
      <c r="L106" s="1">
        <v>45935</v>
      </c>
      <c r="M106" t="s">
        <v>25</v>
      </c>
      <c r="N106" t="s">
        <v>26</v>
      </c>
      <c r="O106">
        <v>150584.56</v>
      </c>
      <c r="P106">
        <v>90350.74</v>
      </c>
      <c r="Q106">
        <v>60233.82</v>
      </c>
      <c r="R106" t="s">
        <v>32</v>
      </c>
      <c r="S106">
        <f t="shared" si="3"/>
        <v>14</v>
      </c>
      <c r="T106" s="2">
        <f t="shared" si="4"/>
        <v>0.60000002656314833</v>
      </c>
      <c r="U106" s="2">
        <f t="shared" si="5"/>
        <v>0.39999997343685167</v>
      </c>
    </row>
    <row r="107" spans="1:21" x14ac:dyDescent="0.3">
      <c r="A107">
        <v>10106</v>
      </c>
      <c r="B107" t="s">
        <v>154</v>
      </c>
      <c r="C107" t="s">
        <v>155</v>
      </c>
      <c r="D107" t="s">
        <v>30</v>
      </c>
      <c r="E107">
        <v>67</v>
      </c>
      <c r="F107" t="s">
        <v>119</v>
      </c>
      <c r="G107" t="s">
        <v>70</v>
      </c>
      <c r="H107" t="s">
        <v>71</v>
      </c>
      <c r="I107" t="s">
        <v>43</v>
      </c>
      <c r="J107">
        <v>11</v>
      </c>
      <c r="K107" s="1">
        <v>45921</v>
      </c>
      <c r="L107" s="1">
        <v>45931</v>
      </c>
      <c r="M107" t="s">
        <v>44</v>
      </c>
      <c r="N107" t="s">
        <v>51</v>
      </c>
      <c r="O107">
        <v>34065.89</v>
      </c>
      <c r="P107">
        <v>21802.17</v>
      </c>
      <c r="Q107">
        <v>12263.72</v>
      </c>
      <c r="R107" t="s">
        <v>32</v>
      </c>
      <c r="S107">
        <f t="shared" si="3"/>
        <v>10</v>
      </c>
      <c r="T107" s="2">
        <f t="shared" si="4"/>
        <v>0.64000001174195065</v>
      </c>
      <c r="U107" s="2">
        <f t="shared" si="5"/>
        <v>0.3599999882580493</v>
      </c>
    </row>
    <row r="108" spans="1:21" x14ac:dyDescent="0.3">
      <c r="A108">
        <v>10107</v>
      </c>
      <c r="B108" t="s">
        <v>64</v>
      </c>
      <c r="C108" t="s">
        <v>65</v>
      </c>
      <c r="D108" t="s">
        <v>20</v>
      </c>
      <c r="E108">
        <v>27</v>
      </c>
      <c r="F108" t="s">
        <v>31</v>
      </c>
      <c r="G108" t="s">
        <v>70</v>
      </c>
      <c r="H108" t="s">
        <v>71</v>
      </c>
      <c r="I108" t="s">
        <v>43</v>
      </c>
      <c r="J108">
        <v>11</v>
      </c>
      <c r="K108" s="1">
        <v>45835</v>
      </c>
      <c r="L108" s="1">
        <v>45837</v>
      </c>
      <c r="M108" t="s">
        <v>112</v>
      </c>
      <c r="N108" t="s">
        <v>51</v>
      </c>
      <c r="O108">
        <v>25141.94</v>
      </c>
      <c r="P108">
        <v>19610.71</v>
      </c>
      <c r="Q108">
        <v>5531.23</v>
      </c>
      <c r="R108" t="s">
        <v>32</v>
      </c>
      <c r="S108">
        <f t="shared" si="3"/>
        <v>2</v>
      </c>
      <c r="T108" s="2">
        <f t="shared" si="4"/>
        <v>0.77999987272263005</v>
      </c>
      <c r="U108" s="2">
        <f t="shared" si="5"/>
        <v>0.22000012727737001</v>
      </c>
    </row>
    <row r="109" spans="1:21" x14ac:dyDescent="0.3">
      <c r="A109">
        <v>10108</v>
      </c>
      <c r="B109" t="s">
        <v>57</v>
      </c>
      <c r="C109" t="s">
        <v>58</v>
      </c>
      <c r="D109" t="s">
        <v>20</v>
      </c>
      <c r="E109">
        <v>45</v>
      </c>
      <c r="F109" t="s">
        <v>59</v>
      </c>
      <c r="G109" t="s">
        <v>60</v>
      </c>
      <c r="H109" t="s">
        <v>61</v>
      </c>
      <c r="I109" t="s">
        <v>62</v>
      </c>
      <c r="J109">
        <v>18</v>
      </c>
      <c r="K109" s="1">
        <v>45708</v>
      </c>
      <c r="L109" s="1">
        <v>45715</v>
      </c>
      <c r="M109" t="s">
        <v>63</v>
      </c>
      <c r="N109" t="s">
        <v>26</v>
      </c>
      <c r="O109">
        <v>37061.74</v>
      </c>
      <c r="P109">
        <v>28537.54</v>
      </c>
      <c r="Q109">
        <v>8524.2000000000007</v>
      </c>
      <c r="R109" t="s">
        <v>27</v>
      </c>
      <c r="S109">
        <f t="shared" si="3"/>
        <v>7</v>
      </c>
      <c r="T109" s="2">
        <f t="shared" si="4"/>
        <v>0.77000000539640079</v>
      </c>
      <c r="U109" s="2">
        <f t="shared" si="5"/>
        <v>0.22999999460359932</v>
      </c>
    </row>
    <row r="110" spans="1:21" x14ac:dyDescent="0.3">
      <c r="A110">
        <v>10109</v>
      </c>
      <c r="B110" t="s">
        <v>86</v>
      </c>
      <c r="C110" t="s">
        <v>87</v>
      </c>
      <c r="D110" t="s">
        <v>30</v>
      </c>
      <c r="E110">
        <v>23</v>
      </c>
      <c r="F110" t="s">
        <v>31</v>
      </c>
      <c r="G110" t="s">
        <v>41</v>
      </c>
      <c r="H110" t="s">
        <v>42</v>
      </c>
      <c r="I110" t="s">
        <v>43</v>
      </c>
      <c r="J110">
        <v>9</v>
      </c>
      <c r="K110" s="1">
        <v>45857</v>
      </c>
      <c r="L110" s="1">
        <v>45871</v>
      </c>
      <c r="M110" t="s">
        <v>44</v>
      </c>
      <c r="N110" t="s">
        <v>26</v>
      </c>
      <c r="O110">
        <v>34930.79</v>
      </c>
      <c r="P110">
        <v>22006.400000000001</v>
      </c>
      <c r="Q110">
        <v>12924.39</v>
      </c>
      <c r="R110" t="s">
        <v>32</v>
      </c>
      <c r="S110">
        <f t="shared" si="3"/>
        <v>14</v>
      </c>
      <c r="T110" s="2">
        <f t="shared" si="4"/>
        <v>0.63000006584448853</v>
      </c>
      <c r="U110" s="2">
        <f t="shared" si="5"/>
        <v>0.36999993415551147</v>
      </c>
    </row>
    <row r="111" spans="1:21" x14ac:dyDescent="0.3">
      <c r="A111">
        <v>10110</v>
      </c>
      <c r="B111" t="s">
        <v>45</v>
      </c>
      <c r="C111" t="s">
        <v>46</v>
      </c>
      <c r="D111" t="s">
        <v>30</v>
      </c>
      <c r="E111">
        <v>45</v>
      </c>
      <c r="F111" t="s">
        <v>40</v>
      </c>
      <c r="G111" t="s">
        <v>22</v>
      </c>
      <c r="H111" t="s">
        <v>23</v>
      </c>
      <c r="I111" t="s">
        <v>24</v>
      </c>
      <c r="J111">
        <v>15</v>
      </c>
      <c r="K111" s="1">
        <v>45713</v>
      </c>
      <c r="L111" s="1">
        <v>45727</v>
      </c>
      <c r="M111" t="s">
        <v>25</v>
      </c>
      <c r="N111" t="s">
        <v>51</v>
      </c>
      <c r="O111">
        <v>220573.05</v>
      </c>
      <c r="P111">
        <v>163224.06</v>
      </c>
      <c r="Q111">
        <v>57348.99</v>
      </c>
      <c r="R111" t="s">
        <v>32</v>
      </c>
      <c r="S111">
        <f t="shared" si="3"/>
        <v>14</v>
      </c>
      <c r="T111" s="2">
        <f t="shared" si="4"/>
        <v>0.74000001360093637</v>
      </c>
      <c r="U111" s="2">
        <f t="shared" si="5"/>
        <v>0.25999998639906374</v>
      </c>
    </row>
    <row r="112" spans="1:21" x14ac:dyDescent="0.3">
      <c r="A112">
        <v>10111</v>
      </c>
      <c r="B112" t="s">
        <v>152</v>
      </c>
      <c r="C112" t="s">
        <v>153</v>
      </c>
      <c r="D112" t="s">
        <v>20</v>
      </c>
      <c r="E112">
        <v>27</v>
      </c>
      <c r="F112" t="s">
        <v>59</v>
      </c>
      <c r="G112" t="s">
        <v>47</v>
      </c>
      <c r="H112" t="s">
        <v>48</v>
      </c>
      <c r="I112" t="s">
        <v>49</v>
      </c>
      <c r="J112">
        <v>8</v>
      </c>
      <c r="K112" s="1">
        <v>45774</v>
      </c>
      <c r="L112" s="1">
        <v>45783</v>
      </c>
      <c r="M112" t="s">
        <v>50</v>
      </c>
      <c r="N112" t="s">
        <v>26</v>
      </c>
      <c r="O112">
        <v>205566.1</v>
      </c>
      <c r="P112">
        <v>148007.59</v>
      </c>
      <c r="Q112">
        <v>57558.51</v>
      </c>
      <c r="R112" t="s">
        <v>32</v>
      </c>
      <c r="S112">
        <f t="shared" si="3"/>
        <v>9</v>
      </c>
      <c r="T112" s="2">
        <f t="shared" si="4"/>
        <v>0.71999999027076933</v>
      </c>
      <c r="U112" s="2">
        <f t="shared" si="5"/>
        <v>0.28000000972923067</v>
      </c>
    </row>
    <row r="113" spans="1:21" x14ac:dyDescent="0.3">
      <c r="A113">
        <v>10112</v>
      </c>
      <c r="B113" t="s">
        <v>120</v>
      </c>
      <c r="C113" t="s">
        <v>74</v>
      </c>
      <c r="D113" t="s">
        <v>20</v>
      </c>
      <c r="E113">
        <v>61</v>
      </c>
      <c r="F113" t="s">
        <v>69</v>
      </c>
      <c r="G113" t="s">
        <v>55</v>
      </c>
      <c r="H113" t="s">
        <v>56</v>
      </c>
      <c r="I113" t="s">
        <v>49</v>
      </c>
      <c r="J113">
        <v>10</v>
      </c>
      <c r="K113" s="1">
        <v>45930</v>
      </c>
      <c r="L113" s="1">
        <v>45943</v>
      </c>
      <c r="M113" t="s">
        <v>50</v>
      </c>
      <c r="N113" t="s">
        <v>26</v>
      </c>
      <c r="O113">
        <v>314006.77</v>
      </c>
      <c r="P113">
        <v>194684.2</v>
      </c>
      <c r="Q113">
        <v>119322.57</v>
      </c>
      <c r="R113" t="s">
        <v>32</v>
      </c>
      <c r="S113">
        <f t="shared" si="3"/>
        <v>13</v>
      </c>
      <c r="T113" s="2">
        <f t="shared" si="4"/>
        <v>0.62000000828007629</v>
      </c>
      <c r="U113" s="2">
        <f t="shared" si="5"/>
        <v>0.37999999171992377</v>
      </c>
    </row>
    <row r="114" spans="1:21" x14ac:dyDescent="0.3">
      <c r="A114">
        <v>10113</v>
      </c>
      <c r="B114" t="s">
        <v>18</v>
      </c>
      <c r="C114" t="s">
        <v>19</v>
      </c>
      <c r="D114" t="s">
        <v>20</v>
      </c>
      <c r="E114">
        <v>45</v>
      </c>
      <c r="F114" t="s">
        <v>21</v>
      </c>
      <c r="G114" t="s">
        <v>55</v>
      </c>
      <c r="H114" t="s">
        <v>56</v>
      </c>
      <c r="I114" t="s">
        <v>49</v>
      </c>
      <c r="J114">
        <v>10</v>
      </c>
      <c r="K114" s="1">
        <v>45843</v>
      </c>
      <c r="L114" s="1">
        <v>45849</v>
      </c>
      <c r="M114" t="s">
        <v>101</v>
      </c>
      <c r="N114" t="s">
        <v>26</v>
      </c>
      <c r="O114">
        <v>53837.05</v>
      </c>
      <c r="P114">
        <v>44684.75</v>
      </c>
      <c r="Q114">
        <v>9152.2999999999993</v>
      </c>
      <c r="R114" t="s">
        <v>32</v>
      </c>
      <c r="S114">
        <f t="shared" si="3"/>
        <v>6</v>
      </c>
      <c r="T114" s="2">
        <f t="shared" si="4"/>
        <v>0.82999997213814647</v>
      </c>
      <c r="U114" s="2">
        <f t="shared" si="5"/>
        <v>0.17000002786185348</v>
      </c>
    </row>
    <row r="115" spans="1:21" x14ac:dyDescent="0.3">
      <c r="A115">
        <v>10114</v>
      </c>
      <c r="B115" t="s">
        <v>78</v>
      </c>
      <c r="C115" t="s">
        <v>79</v>
      </c>
      <c r="D115" t="s">
        <v>20</v>
      </c>
      <c r="E115">
        <v>67</v>
      </c>
      <c r="F115" t="s">
        <v>35</v>
      </c>
      <c r="G115" t="s">
        <v>36</v>
      </c>
      <c r="H115" t="s">
        <v>37</v>
      </c>
      <c r="I115" t="s">
        <v>24</v>
      </c>
      <c r="J115">
        <v>12</v>
      </c>
      <c r="K115" s="1">
        <v>45795</v>
      </c>
      <c r="L115" s="1">
        <v>45797</v>
      </c>
      <c r="M115" t="s">
        <v>25</v>
      </c>
      <c r="N115" t="s">
        <v>51</v>
      </c>
      <c r="O115">
        <v>159450.66</v>
      </c>
      <c r="P115">
        <v>130749.54</v>
      </c>
      <c r="Q115">
        <v>28701.119999999999</v>
      </c>
      <c r="R115" t="s">
        <v>32</v>
      </c>
      <c r="S115">
        <f t="shared" si="3"/>
        <v>2</v>
      </c>
      <c r="T115" s="2">
        <f t="shared" si="4"/>
        <v>0.81999999247416089</v>
      </c>
      <c r="U115" s="2">
        <f t="shared" si="5"/>
        <v>0.18000000752583903</v>
      </c>
    </row>
    <row r="116" spans="1:21" x14ac:dyDescent="0.3">
      <c r="A116">
        <v>10115</v>
      </c>
      <c r="B116" t="s">
        <v>129</v>
      </c>
      <c r="C116" t="s">
        <v>130</v>
      </c>
      <c r="D116" t="s">
        <v>30</v>
      </c>
      <c r="E116">
        <v>28</v>
      </c>
      <c r="F116" t="s">
        <v>35</v>
      </c>
      <c r="G116" t="s">
        <v>36</v>
      </c>
      <c r="H116" t="s">
        <v>37</v>
      </c>
      <c r="I116" t="s">
        <v>24</v>
      </c>
      <c r="J116">
        <v>12</v>
      </c>
      <c r="K116" s="1">
        <v>45836</v>
      </c>
      <c r="L116" s="1">
        <v>45845</v>
      </c>
      <c r="M116" t="s">
        <v>66</v>
      </c>
      <c r="N116" t="s">
        <v>51</v>
      </c>
      <c r="O116">
        <v>44820.61</v>
      </c>
      <c r="P116">
        <v>30029.81</v>
      </c>
      <c r="Q116">
        <v>14790.8</v>
      </c>
      <c r="R116" t="s">
        <v>27</v>
      </c>
      <c r="S116">
        <f t="shared" si="3"/>
        <v>9</v>
      </c>
      <c r="T116" s="2">
        <f t="shared" si="4"/>
        <v>0.67000002900451383</v>
      </c>
      <c r="U116" s="2">
        <f t="shared" si="5"/>
        <v>0.32999997099548622</v>
      </c>
    </row>
    <row r="117" spans="1:21" x14ac:dyDescent="0.3">
      <c r="A117">
        <v>10116</v>
      </c>
      <c r="B117" t="s">
        <v>156</v>
      </c>
      <c r="C117" t="s">
        <v>157</v>
      </c>
      <c r="D117" t="s">
        <v>30</v>
      </c>
      <c r="E117">
        <v>47</v>
      </c>
      <c r="F117" t="s">
        <v>40</v>
      </c>
      <c r="G117" t="s">
        <v>55</v>
      </c>
      <c r="H117" t="s">
        <v>56</v>
      </c>
      <c r="I117" t="s">
        <v>49</v>
      </c>
      <c r="J117">
        <v>10</v>
      </c>
      <c r="K117" s="1">
        <v>45865</v>
      </c>
      <c r="L117" s="1">
        <v>45879</v>
      </c>
      <c r="M117" t="s">
        <v>85</v>
      </c>
      <c r="N117" t="s">
        <v>26</v>
      </c>
      <c r="O117">
        <v>99444.01</v>
      </c>
      <c r="P117">
        <v>81544.09</v>
      </c>
      <c r="Q117">
        <v>17899.919999999998</v>
      </c>
      <c r="R117" t="s">
        <v>27</v>
      </c>
      <c r="S117">
        <f t="shared" si="3"/>
        <v>14</v>
      </c>
      <c r="T117" s="2">
        <f t="shared" si="4"/>
        <v>0.82000001810063772</v>
      </c>
      <c r="U117" s="2">
        <f t="shared" si="5"/>
        <v>0.17999998189936225</v>
      </c>
    </row>
    <row r="118" spans="1:21" x14ac:dyDescent="0.3">
      <c r="A118">
        <v>10117</v>
      </c>
      <c r="B118" t="s">
        <v>64</v>
      </c>
      <c r="C118" t="s">
        <v>65</v>
      </c>
      <c r="D118" t="s">
        <v>20</v>
      </c>
      <c r="E118">
        <v>27</v>
      </c>
      <c r="F118" t="s">
        <v>31</v>
      </c>
      <c r="G118" t="s">
        <v>36</v>
      </c>
      <c r="H118" t="s">
        <v>37</v>
      </c>
      <c r="I118" t="s">
        <v>24</v>
      </c>
      <c r="J118">
        <v>12</v>
      </c>
      <c r="K118" s="1">
        <v>45788</v>
      </c>
      <c r="L118" s="1">
        <v>45796</v>
      </c>
      <c r="M118" t="s">
        <v>25</v>
      </c>
      <c r="N118" t="s">
        <v>26</v>
      </c>
      <c r="O118">
        <v>135404.24</v>
      </c>
      <c r="P118">
        <v>89366.8</v>
      </c>
      <c r="Q118">
        <v>46037.440000000002</v>
      </c>
      <c r="R118" t="s">
        <v>32</v>
      </c>
      <c r="S118">
        <f t="shared" si="3"/>
        <v>8</v>
      </c>
      <c r="T118" s="2">
        <f t="shared" si="4"/>
        <v>0.66000001181646906</v>
      </c>
      <c r="U118" s="2">
        <f t="shared" si="5"/>
        <v>0.33999998818353105</v>
      </c>
    </row>
    <row r="119" spans="1:21" x14ac:dyDescent="0.3">
      <c r="A119">
        <v>10118</v>
      </c>
      <c r="B119" t="s">
        <v>158</v>
      </c>
      <c r="C119" t="s">
        <v>159</v>
      </c>
      <c r="D119" t="s">
        <v>30</v>
      </c>
      <c r="E119">
        <v>18</v>
      </c>
      <c r="F119" t="s">
        <v>35</v>
      </c>
      <c r="G119" t="s">
        <v>22</v>
      </c>
      <c r="H119" t="s">
        <v>23</v>
      </c>
      <c r="I119" t="s">
        <v>24</v>
      </c>
      <c r="J119">
        <v>15</v>
      </c>
      <c r="K119" s="1">
        <v>45804</v>
      </c>
      <c r="L119" s="1">
        <v>45812</v>
      </c>
      <c r="M119" t="s">
        <v>66</v>
      </c>
      <c r="N119" t="s">
        <v>26</v>
      </c>
      <c r="O119">
        <v>43987.98</v>
      </c>
      <c r="P119">
        <v>27712.43</v>
      </c>
      <c r="Q119">
        <v>16275.55</v>
      </c>
      <c r="R119" t="s">
        <v>32</v>
      </c>
      <c r="S119">
        <f t="shared" si="3"/>
        <v>8</v>
      </c>
      <c r="T119" s="2">
        <f t="shared" si="4"/>
        <v>0.63000005910705603</v>
      </c>
      <c r="U119" s="2">
        <f t="shared" si="5"/>
        <v>0.36999994089294391</v>
      </c>
    </row>
    <row r="120" spans="1:21" x14ac:dyDescent="0.3">
      <c r="A120">
        <v>10119</v>
      </c>
      <c r="B120" t="s">
        <v>129</v>
      </c>
      <c r="C120" t="s">
        <v>130</v>
      </c>
      <c r="D120" t="s">
        <v>30</v>
      </c>
      <c r="E120">
        <v>28</v>
      </c>
      <c r="F120" t="s">
        <v>35</v>
      </c>
      <c r="G120" t="s">
        <v>55</v>
      </c>
      <c r="H120" t="s">
        <v>56</v>
      </c>
      <c r="I120" t="s">
        <v>49</v>
      </c>
      <c r="J120">
        <v>10</v>
      </c>
      <c r="K120" s="1">
        <v>45913</v>
      </c>
      <c r="L120" s="1">
        <v>45919</v>
      </c>
      <c r="M120" t="s">
        <v>101</v>
      </c>
      <c r="N120" t="s">
        <v>26</v>
      </c>
      <c r="O120">
        <v>24175.97</v>
      </c>
      <c r="P120">
        <v>18615.5</v>
      </c>
      <c r="Q120">
        <v>5560.47</v>
      </c>
      <c r="R120" t="s">
        <v>32</v>
      </c>
      <c r="S120">
        <f t="shared" si="3"/>
        <v>6</v>
      </c>
      <c r="T120" s="2">
        <f t="shared" si="4"/>
        <v>0.77000012822649921</v>
      </c>
      <c r="U120" s="2">
        <f t="shared" si="5"/>
        <v>0.2299998717735007</v>
      </c>
    </row>
    <row r="121" spans="1:21" x14ac:dyDescent="0.3">
      <c r="A121">
        <v>10120</v>
      </c>
      <c r="B121" t="s">
        <v>113</v>
      </c>
      <c r="C121" t="s">
        <v>114</v>
      </c>
      <c r="D121" t="s">
        <v>30</v>
      </c>
      <c r="E121">
        <v>33</v>
      </c>
      <c r="F121" t="s">
        <v>59</v>
      </c>
      <c r="G121" t="s">
        <v>47</v>
      </c>
      <c r="H121" t="s">
        <v>48</v>
      </c>
      <c r="I121" t="s">
        <v>49</v>
      </c>
      <c r="J121">
        <v>8</v>
      </c>
      <c r="K121" s="1">
        <v>45782</v>
      </c>
      <c r="L121" s="1">
        <v>45792</v>
      </c>
      <c r="M121" t="s">
        <v>50</v>
      </c>
      <c r="N121" t="s">
        <v>26</v>
      </c>
      <c r="O121">
        <v>217947.24</v>
      </c>
      <c r="P121">
        <v>132947.82</v>
      </c>
      <c r="Q121">
        <v>84999.42</v>
      </c>
      <c r="R121" t="s">
        <v>32</v>
      </c>
      <c r="S121">
        <f t="shared" si="3"/>
        <v>10</v>
      </c>
      <c r="T121" s="2">
        <f t="shared" si="4"/>
        <v>0.61000001651775915</v>
      </c>
      <c r="U121" s="2">
        <f t="shared" si="5"/>
        <v>0.38999998348224096</v>
      </c>
    </row>
    <row r="122" spans="1:21" x14ac:dyDescent="0.3">
      <c r="A122">
        <v>10121</v>
      </c>
      <c r="B122" t="s">
        <v>94</v>
      </c>
      <c r="C122" t="s">
        <v>95</v>
      </c>
      <c r="D122" t="s">
        <v>30</v>
      </c>
      <c r="E122">
        <v>66</v>
      </c>
      <c r="F122" t="s">
        <v>54</v>
      </c>
      <c r="G122" t="s">
        <v>60</v>
      </c>
      <c r="H122" t="s">
        <v>61</v>
      </c>
      <c r="I122" t="s">
        <v>62</v>
      </c>
      <c r="J122">
        <v>18</v>
      </c>
      <c r="K122" s="1">
        <v>45951</v>
      </c>
      <c r="L122" s="1">
        <v>45958</v>
      </c>
      <c r="M122" t="s">
        <v>77</v>
      </c>
      <c r="N122" t="s">
        <v>26</v>
      </c>
      <c r="O122">
        <v>47898.06</v>
      </c>
      <c r="P122">
        <v>35923.54</v>
      </c>
      <c r="Q122">
        <v>11974.52</v>
      </c>
      <c r="R122" t="s">
        <v>27</v>
      </c>
      <c r="S122">
        <f t="shared" si="3"/>
        <v>7</v>
      </c>
      <c r="T122" s="2">
        <f t="shared" si="4"/>
        <v>0.7499998956116386</v>
      </c>
      <c r="U122" s="2">
        <f t="shared" si="5"/>
        <v>0.25000010438836145</v>
      </c>
    </row>
    <row r="123" spans="1:21" x14ac:dyDescent="0.3">
      <c r="A123">
        <v>10122</v>
      </c>
      <c r="B123" t="s">
        <v>90</v>
      </c>
      <c r="C123" t="s">
        <v>91</v>
      </c>
      <c r="D123" t="s">
        <v>20</v>
      </c>
      <c r="E123">
        <v>48</v>
      </c>
      <c r="F123" t="s">
        <v>84</v>
      </c>
      <c r="G123" t="s">
        <v>22</v>
      </c>
      <c r="H123" t="s">
        <v>23</v>
      </c>
      <c r="I123" t="s">
        <v>24</v>
      </c>
      <c r="J123">
        <v>15</v>
      </c>
      <c r="K123" s="1">
        <v>45752</v>
      </c>
      <c r="L123" s="1">
        <v>45763</v>
      </c>
      <c r="M123" t="s">
        <v>25</v>
      </c>
      <c r="N123" t="s">
        <v>26</v>
      </c>
      <c r="O123">
        <v>118824.83</v>
      </c>
      <c r="P123">
        <v>89118.62</v>
      </c>
      <c r="Q123">
        <v>29706.21</v>
      </c>
      <c r="R123" t="s">
        <v>27</v>
      </c>
      <c r="S123">
        <f t="shared" si="3"/>
        <v>11</v>
      </c>
      <c r="T123" s="2">
        <f t="shared" si="4"/>
        <v>0.74999997896062631</v>
      </c>
      <c r="U123" s="2">
        <f t="shared" si="5"/>
        <v>0.25000002103937369</v>
      </c>
    </row>
    <row r="124" spans="1:21" x14ac:dyDescent="0.3">
      <c r="A124">
        <v>10123</v>
      </c>
      <c r="B124" t="s">
        <v>80</v>
      </c>
      <c r="C124" t="s">
        <v>81</v>
      </c>
      <c r="D124" t="s">
        <v>20</v>
      </c>
      <c r="E124">
        <v>65</v>
      </c>
      <c r="F124" t="s">
        <v>40</v>
      </c>
      <c r="G124" t="s">
        <v>55</v>
      </c>
      <c r="H124" t="s">
        <v>56</v>
      </c>
      <c r="I124" t="s">
        <v>49</v>
      </c>
      <c r="J124">
        <v>10</v>
      </c>
      <c r="K124" s="1">
        <v>45876</v>
      </c>
      <c r="L124" s="1">
        <v>45888</v>
      </c>
      <c r="M124" t="s">
        <v>50</v>
      </c>
      <c r="N124" t="s">
        <v>26</v>
      </c>
      <c r="O124">
        <v>168203.28</v>
      </c>
      <c r="P124">
        <v>134562.62</v>
      </c>
      <c r="Q124">
        <v>33640.660000000003</v>
      </c>
      <c r="R124" t="s">
        <v>32</v>
      </c>
      <c r="S124">
        <f t="shared" si="3"/>
        <v>12</v>
      </c>
      <c r="T124" s="2">
        <f t="shared" si="4"/>
        <v>0.7999999762192509</v>
      </c>
      <c r="U124" s="2">
        <f t="shared" si="5"/>
        <v>0.20000002378074913</v>
      </c>
    </row>
    <row r="125" spans="1:21" x14ac:dyDescent="0.3">
      <c r="A125">
        <v>10124</v>
      </c>
      <c r="B125" t="s">
        <v>120</v>
      </c>
      <c r="C125" t="s">
        <v>74</v>
      </c>
      <c r="D125" t="s">
        <v>20</v>
      </c>
      <c r="E125">
        <v>61</v>
      </c>
      <c r="F125" t="s">
        <v>69</v>
      </c>
      <c r="G125" t="s">
        <v>41</v>
      </c>
      <c r="H125" t="s">
        <v>42</v>
      </c>
      <c r="I125" t="s">
        <v>43</v>
      </c>
      <c r="J125">
        <v>9</v>
      </c>
      <c r="K125" s="1">
        <v>45834</v>
      </c>
      <c r="L125" s="1">
        <v>45837</v>
      </c>
      <c r="M125" t="s">
        <v>72</v>
      </c>
      <c r="N125" t="s">
        <v>51</v>
      </c>
      <c r="O125">
        <v>19730.72</v>
      </c>
      <c r="P125">
        <v>15981.88</v>
      </c>
      <c r="Q125">
        <v>3748.84</v>
      </c>
      <c r="R125" t="s">
        <v>32</v>
      </c>
      <c r="S125">
        <f t="shared" si="3"/>
        <v>3</v>
      </c>
      <c r="T125" s="2">
        <f t="shared" si="4"/>
        <v>0.80999983781635942</v>
      </c>
      <c r="U125" s="2">
        <f t="shared" si="5"/>
        <v>0.19000016218364052</v>
      </c>
    </row>
    <row r="126" spans="1:21" x14ac:dyDescent="0.3">
      <c r="A126">
        <v>10125</v>
      </c>
      <c r="B126" t="s">
        <v>64</v>
      </c>
      <c r="C126" t="s">
        <v>65</v>
      </c>
      <c r="D126" t="s">
        <v>20</v>
      </c>
      <c r="E126">
        <v>27</v>
      </c>
      <c r="F126" t="s">
        <v>31</v>
      </c>
      <c r="G126" t="s">
        <v>41</v>
      </c>
      <c r="H126" t="s">
        <v>42</v>
      </c>
      <c r="I126" t="s">
        <v>43</v>
      </c>
      <c r="J126">
        <v>9</v>
      </c>
      <c r="K126" s="1">
        <v>45916</v>
      </c>
      <c r="L126" s="1">
        <v>45929</v>
      </c>
      <c r="M126" t="s">
        <v>44</v>
      </c>
      <c r="N126" t="s">
        <v>26</v>
      </c>
      <c r="O126">
        <v>16986.72</v>
      </c>
      <c r="P126">
        <v>12230.44</v>
      </c>
      <c r="Q126">
        <v>4756.28</v>
      </c>
      <c r="R126" t="s">
        <v>27</v>
      </c>
      <c r="S126">
        <f t="shared" si="3"/>
        <v>13</v>
      </c>
      <c r="T126" s="2">
        <f t="shared" si="4"/>
        <v>0.72000009419122701</v>
      </c>
      <c r="U126" s="2">
        <f t="shared" si="5"/>
        <v>0.27999990580877293</v>
      </c>
    </row>
    <row r="127" spans="1:21" x14ac:dyDescent="0.3">
      <c r="A127">
        <v>10126</v>
      </c>
      <c r="B127" t="s">
        <v>78</v>
      </c>
      <c r="C127" t="s">
        <v>79</v>
      </c>
      <c r="D127" t="s">
        <v>20</v>
      </c>
      <c r="E127">
        <v>67</v>
      </c>
      <c r="F127" t="s">
        <v>35</v>
      </c>
      <c r="G127" t="s">
        <v>47</v>
      </c>
      <c r="H127" t="s">
        <v>48</v>
      </c>
      <c r="I127" t="s">
        <v>49</v>
      </c>
      <c r="J127">
        <v>8</v>
      </c>
      <c r="K127" s="1">
        <v>45907</v>
      </c>
      <c r="L127" s="1">
        <v>45911</v>
      </c>
      <c r="M127" t="s">
        <v>50</v>
      </c>
      <c r="N127" t="s">
        <v>26</v>
      </c>
      <c r="O127">
        <v>236951.14</v>
      </c>
      <c r="P127">
        <v>151648.73000000001</v>
      </c>
      <c r="Q127">
        <v>85302.41</v>
      </c>
      <c r="R127" t="s">
        <v>27</v>
      </c>
      <c r="S127">
        <f t="shared" si="3"/>
        <v>4</v>
      </c>
      <c r="T127" s="2">
        <f t="shared" si="4"/>
        <v>0.64000000168811177</v>
      </c>
      <c r="U127" s="2">
        <f t="shared" si="5"/>
        <v>0.35999999831188828</v>
      </c>
    </row>
    <row r="128" spans="1:21" x14ac:dyDescent="0.3">
      <c r="A128">
        <v>10127</v>
      </c>
      <c r="B128" t="s">
        <v>115</v>
      </c>
      <c r="C128" t="s">
        <v>116</v>
      </c>
      <c r="D128" t="s">
        <v>30</v>
      </c>
      <c r="E128">
        <v>18</v>
      </c>
      <c r="F128" t="s">
        <v>31</v>
      </c>
      <c r="G128" t="s">
        <v>47</v>
      </c>
      <c r="H128" t="s">
        <v>48</v>
      </c>
      <c r="I128" t="s">
        <v>49</v>
      </c>
      <c r="J128">
        <v>8</v>
      </c>
      <c r="K128" s="1">
        <v>45946</v>
      </c>
      <c r="L128" s="1">
        <v>45948</v>
      </c>
      <c r="M128" t="s">
        <v>101</v>
      </c>
      <c r="N128" t="s">
        <v>51</v>
      </c>
      <c r="O128">
        <v>24150.58</v>
      </c>
      <c r="P128">
        <v>18595.95</v>
      </c>
      <c r="Q128">
        <v>5554.63</v>
      </c>
      <c r="R128" t="s">
        <v>32</v>
      </c>
      <c r="S128">
        <f t="shared" si="3"/>
        <v>2</v>
      </c>
      <c r="T128" s="2">
        <f t="shared" si="4"/>
        <v>0.77000014078336831</v>
      </c>
      <c r="U128" s="2">
        <f t="shared" si="5"/>
        <v>0.22999985921663163</v>
      </c>
    </row>
    <row r="129" spans="1:21" x14ac:dyDescent="0.3">
      <c r="A129">
        <v>10128</v>
      </c>
      <c r="B129" t="s">
        <v>45</v>
      </c>
      <c r="C129" t="s">
        <v>46</v>
      </c>
      <c r="D129" t="s">
        <v>30</v>
      </c>
      <c r="E129">
        <v>45</v>
      </c>
      <c r="F129" t="s">
        <v>40</v>
      </c>
      <c r="G129" t="s">
        <v>88</v>
      </c>
      <c r="H129" t="s">
        <v>89</v>
      </c>
      <c r="I129" t="s">
        <v>62</v>
      </c>
      <c r="J129">
        <v>14</v>
      </c>
      <c r="K129" s="1">
        <v>45870</v>
      </c>
      <c r="L129" s="1">
        <v>45875</v>
      </c>
      <c r="M129" t="s">
        <v>63</v>
      </c>
      <c r="N129" t="s">
        <v>51</v>
      </c>
      <c r="O129">
        <v>26521.61</v>
      </c>
      <c r="P129">
        <v>16178.18</v>
      </c>
      <c r="Q129">
        <v>10343.43</v>
      </c>
      <c r="R129" t="s">
        <v>27</v>
      </c>
      <c r="S129">
        <f t="shared" si="3"/>
        <v>5</v>
      </c>
      <c r="T129" s="2">
        <f t="shared" si="4"/>
        <v>0.60999992081928656</v>
      </c>
      <c r="U129" s="2">
        <f t="shared" si="5"/>
        <v>0.39000007918071339</v>
      </c>
    </row>
    <row r="130" spans="1:21" x14ac:dyDescent="0.3">
      <c r="A130">
        <v>10129</v>
      </c>
      <c r="B130" t="s">
        <v>129</v>
      </c>
      <c r="C130" t="s">
        <v>130</v>
      </c>
      <c r="D130" t="s">
        <v>30</v>
      </c>
      <c r="E130">
        <v>28</v>
      </c>
      <c r="F130" t="s">
        <v>35</v>
      </c>
      <c r="G130" t="s">
        <v>41</v>
      </c>
      <c r="H130" t="s">
        <v>42</v>
      </c>
      <c r="I130" t="s">
        <v>43</v>
      </c>
      <c r="J130">
        <v>9</v>
      </c>
      <c r="K130" s="1">
        <v>45710</v>
      </c>
      <c r="L130" s="1">
        <v>45718</v>
      </c>
      <c r="M130" t="s">
        <v>44</v>
      </c>
      <c r="N130" t="s">
        <v>51</v>
      </c>
      <c r="O130">
        <v>32443.14</v>
      </c>
      <c r="P130">
        <v>23034.63</v>
      </c>
      <c r="Q130">
        <v>9408.51</v>
      </c>
      <c r="R130" t="s">
        <v>27</v>
      </c>
      <c r="S130">
        <f t="shared" si="3"/>
        <v>8</v>
      </c>
      <c r="T130" s="2">
        <f t="shared" si="4"/>
        <v>0.71000001849389427</v>
      </c>
      <c r="U130" s="2">
        <f t="shared" si="5"/>
        <v>0.28999998150610579</v>
      </c>
    </row>
    <row r="131" spans="1:21" x14ac:dyDescent="0.3">
      <c r="A131">
        <v>10130</v>
      </c>
      <c r="B131" t="s">
        <v>131</v>
      </c>
      <c r="C131" t="s">
        <v>132</v>
      </c>
      <c r="D131" t="s">
        <v>20</v>
      </c>
      <c r="E131">
        <v>68</v>
      </c>
      <c r="F131" t="s">
        <v>31</v>
      </c>
      <c r="G131" t="s">
        <v>36</v>
      </c>
      <c r="H131" t="s">
        <v>37</v>
      </c>
      <c r="I131" t="s">
        <v>24</v>
      </c>
      <c r="J131">
        <v>12</v>
      </c>
      <c r="K131" s="1">
        <v>45724</v>
      </c>
      <c r="L131" s="1">
        <v>45728</v>
      </c>
      <c r="M131" t="s">
        <v>25</v>
      </c>
      <c r="N131" t="s">
        <v>26</v>
      </c>
      <c r="O131">
        <v>153199.45000000001</v>
      </c>
      <c r="P131">
        <v>111835.6</v>
      </c>
      <c r="Q131">
        <v>41363.85</v>
      </c>
      <c r="R131" t="s">
        <v>32</v>
      </c>
      <c r="S131">
        <f t="shared" ref="S131:S194" si="6">L131-K131</f>
        <v>4</v>
      </c>
      <c r="T131" s="2">
        <f t="shared" ref="T131:T194" si="7">P131/O131</f>
        <v>0.73000000979115787</v>
      </c>
      <c r="U131" s="2">
        <f t="shared" ref="U131:U194" si="8">Q131/O131</f>
        <v>0.26999999020884208</v>
      </c>
    </row>
    <row r="132" spans="1:21" x14ac:dyDescent="0.3">
      <c r="A132">
        <v>10131</v>
      </c>
      <c r="B132" t="s">
        <v>154</v>
      </c>
      <c r="C132" t="s">
        <v>155</v>
      </c>
      <c r="D132" t="s">
        <v>30</v>
      </c>
      <c r="E132">
        <v>67</v>
      </c>
      <c r="F132" t="s">
        <v>119</v>
      </c>
      <c r="G132" t="s">
        <v>22</v>
      </c>
      <c r="H132" t="s">
        <v>23</v>
      </c>
      <c r="I132" t="s">
        <v>24</v>
      </c>
      <c r="J132">
        <v>15</v>
      </c>
      <c r="K132" s="1">
        <v>45939</v>
      </c>
      <c r="L132" s="1">
        <v>45947</v>
      </c>
      <c r="M132" t="s">
        <v>25</v>
      </c>
      <c r="N132" t="s">
        <v>26</v>
      </c>
      <c r="O132">
        <v>190082.03</v>
      </c>
      <c r="P132">
        <v>134958.24</v>
      </c>
      <c r="Q132">
        <v>55123.79</v>
      </c>
      <c r="R132" t="s">
        <v>32</v>
      </c>
      <c r="S132">
        <f t="shared" si="6"/>
        <v>8</v>
      </c>
      <c r="T132" s="2">
        <f t="shared" si="7"/>
        <v>0.70999999316084739</v>
      </c>
      <c r="U132" s="2">
        <f t="shared" si="8"/>
        <v>0.29000000683915256</v>
      </c>
    </row>
    <row r="133" spans="1:21" x14ac:dyDescent="0.3">
      <c r="A133">
        <v>10132</v>
      </c>
      <c r="B133" t="s">
        <v>125</v>
      </c>
      <c r="C133" t="s">
        <v>126</v>
      </c>
      <c r="D133" t="s">
        <v>30</v>
      </c>
      <c r="E133">
        <v>73</v>
      </c>
      <c r="F133" t="s">
        <v>21</v>
      </c>
      <c r="G133" t="s">
        <v>60</v>
      </c>
      <c r="H133" t="s">
        <v>61</v>
      </c>
      <c r="I133" t="s">
        <v>62</v>
      </c>
      <c r="J133">
        <v>18</v>
      </c>
      <c r="K133" s="1">
        <v>45665</v>
      </c>
      <c r="L133" s="1">
        <v>45673</v>
      </c>
      <c r="M133" t="s">
        <v>63</v>
      </c>
      <c r="N133" t="s">
        <v>26</v>
      </c>
      <c r="O133">
        <v>37241.440000000002</v>
      </c>
      <c r="P133">
        <v>24579.35</v>
      </c>
      <c r="Q133">
        <v>12662.09</v>
      </c>
      <c r="R133" t="s">
        <v>32</v>
      </c>
      <c r="S133">
        <f t="shared" si="6"/>
        <v>8</v>
      </c>
      <c r="T133" s="2">
        <f t="shared" si="7"/>
        <v>0.65999998925927672</v>
      </c>
      <c r="U133" s="2">
        <f t="shared" si="8"/>
        <v>0.34000001074072322</v>
      </c>
    </row>
    <row r="134" spans="1:21" x14ac:dyDescent="0.3">
      <c r="A134">
        <v>10133</v>
      </c>
      <c r="B134" t="s">
        <v>86</v>
      </c>
      <c r="C134" t="s">
        <v>87</v>
      </c>
      <c r="D134" t="s">
        <v>30</v>
      </c>
      <c r="E134">
        <v>23</v>
      </c>
      <c r="F134" t="s">
        <v>31</v>
      </c>
      <c r="G134" t="s">
        <v>55</v>
      </c>
      <c r="H134" t="s">
        <v>56</v>
      </c>
      <c r="I134" t="s">
        <v>49</v>
      </c>
      <c r="J134">
        <v>10</v>
      </c>
      <c r="K134" s="1">
        <v>45806</v>
      </c>
      <c r="L134" s="1">
        <v>45809</v>
      </c>
      <c r="M134" t="s">
        <v>85</v>
      </c>
      <c r="N134" t="s">
        <v>26</v>
      </c>
      <c r="O134">
        <v>62830.91</v>
      </c>
      <c r="P134">
        <v>44609.95</v>
      </c>
      <c r="Q134">
        <v>18220.96</v>
      </c>
      <c r="R134" t="s">
        <v>32</v>
      </c>
      <c r="S134">
        <f t="shared" si="6"/>
        <v>3</v>
      </c>
      <c r="T134" s="2">
        <f t="shared" si="7"/>
        <v>0.71000006207135935</v>
      </c>
      <c r="U134" s="2">
        <f t="shared" si="8"/>
        <v>0.28999993792864048</v>
      </c>
    </row>
    <row r="135" spans="1:21" x14ac:dyDescent="0.3">
      <c r="A135">
        <v>10134</v>
      </c>
      <c r="B135" t="s">
        <v>80</v>
      </c>
      <c r="C135" t="s">
        <v>81</v>
      </c>
      <c r="D135" t="s">
        <v>20</v>
      </c>
      <c r="E135">
        <v>65</v>
      </c>
      <c r="F135" t="s">
        <v>40</v>
      </c>
      <c r="G135" t="s">
        <v>41</v>
      </c>
      <c r="H135" t="s">
        <v>42</v>
      </c>
      <c r="I135" t="s">
        <v>43</v>
      </c>
      <c r="J135">
        <v>9</v>
      </c>
      <c r="K135" s="1">
        <v>45951</v>
      </c>
      <c r="L135" s="1">
        <v>45958</v>
      </c>
      <c r="M135" t="s">
        <v>112</v>
      </c>
      <c r="N135" t="s">
        <v>26</v>
      </c>
      <c r="O135">
        <v>41766.54</v>
      </c>
      <c r="P135">
        <v>34248.559999999998</v>
      </c>
      <c r="Q135">
        <v>7517.98</v>
      </c>
      <c r="R135" t="s">
        <v>32</v>
      </c>
      <c r="S135">
        <f t="shared" si="6"/>
        <v>7</v>
      </c>
      <c r="T135" s="2">
        <f t="shared" si="7"/>
        <v>0.81999993296069051</v>
      </c>
      <c r="U135" s="2">
        <f t="shared" si="8"/>
        <v>0.18000006703930943</v>
      </c>
    </row>
    <row r="136" spans="1:21" x14ac:dyDescent="0.3">
      <c r="A136">
        <v>10135</v>
      </c>
      <c r="B136" t="s">
        <v>135</v>
      </c>
      <c r="C136" t="s">
        <v>136</v>
      </c>
      <c r="D136" t="s">
        <v>30</v>
      </c>
      <c r="E136">
        <v>52</v>
      </c>
      <c r="F136" t="s">
        <v>35</v>
      </c>
      <c r="G136" t="s">
        <v>22</v>
      </c>
      <c r="H136" t="s">
        <v>23</v>
      </c>
      <c r="I136" t="s">
        <v>24</v>
      </c>
      <c r="J136">
        <v>15</v>
      </c>
      <c r="K136" s="1">
        <v>45773</v>
      </c>
      <c r="L136" s="1">
        <v>45785</v>
      </c>
      <c r="M136" t="s">
        <v>25</v>
      </c>
      <c r="N136" t="s">
        <v>26</v>
      </c>
      <c r="O136">
        <v>142675.9</v>
      </c>
      <c r="P136">
        <v>102726.65</v>
      </c>
      <c r="Q136">
        <v>39949.25</v>
      </c>
      <c r="R136" t="s">
        <v>32</v>
      </c>
      <c r="S136">
        <f t="shared" si="6"/>
        <v>12</v>
      </c>
      <c r="T136" s="2">
        <f t="shared" si="7"/>
        <v>0.72000001401778435</v>
      </c>
      <c r="U136" s="2">
        <f t="shared" si="8"/>
        <v>0.27999998598221565</v>
      </c>
    </row>
    <row r="137" spans="1:21" x14ac:dyDescent="0.3">
      <c r="A137">
        <v>10136</v>
      </c>
      <c r="B137" t="s">
        <v>139</v>
      </c>
      <c r="C137" t="s">
        <v>140</v>
      </c>
      <c r="D137" t="s">
        <v>20</v>
      </c>
      <c r="E137">
        <v>21</v>
      </c>
      <c r="F137" t="s">
        <v>119</v>
      </c>
      <c r="G137" t="s">
        <v>41</v>
      </c>
      <c r="H137" t="s">
        <v>42</v>
      </c>
      <c r="I137" t="s">
        <v>43</v>
      </c>
      <c r="J137">
        <v>9</v>
      </c>
      <c r="K137" s="1">
        <v>45764</v>
      </c>
      <c r="L137" s="1">
        <v>45777</v>
      </c>
      <c r="M137" t="s">
        <v>44</v>
      </c>
      <c r="N137" t="s">
        <v>26</v>
      </c>
      <c r="O137">
        <v>21937.51</v>
      </c>
      <c r="P137">
        <v>14917.51</v>
      </c>
      <c r="Q137">
        <v>7020</v>
      </c>
      <c r="R137" t="s">
        <v>27</v>
      </c>
      <c r="S137">
        <f t="shared" si="6"/>
        <v>13</v>
      </c>
      <c r="T137" s="2">
        <f t="shared" si="7"/>
        <v>0.68000014586887947</v>
      </c>
      <c r="U137" s="2">
        <f t="shared" si="8"/>
        <v>0.31999985413112064</v>
      </c>
    </row>
    <row r="138" spans="1:21" x14ac:dyDescent="0.3">
      <c r="A138">
        <v>10137</v>
      </c>
      <c r="B138" t="s">
        <v>90</v>
      </c>
      <c r="C138" t="s">
        <v>91</v>
      </c>
      <c r="D138" t="s">
        <v>20</v>
      </c>
      <c r="E138">
        <v>48</v>
      </c>
      <c r="F138" t="s">
        <v>84</v>
      </c>
      <c r="G138" t="s">
        <v>60</v>
      </c>
      <c r="H138" t="s">
        <v>61</v>
      </c>
      <c r="I138" t="s">
        <v>62</v>
      </c>
      <c r="J138">
        <v>18</v>
      </c>
      <c r="K138" s="1">
        <v>45710</v>
      </c>
      <c r="L138" s="1">
        <v>45717</v>
      </c>
      <c r="M138" t="s">
        <v>96</v>
      </c>
      <c r="N138" t="s">
        <v>51</v>
      </c>
      <c r="O138">
        <v>146891.51999999999</v>
      </c>
      <c r="P138">
        <v>111637.56</v>
      </c>
      <c r="Q138">
        <v>35253.96</v>
      </c>
      <c r="R138" t="s">
        <v>32</v>
      </c>
      <c r="S138">
        <f t="shared" si="6"/>
        <v>7</v>
      </c>
      <c r="T138" s="2">
        <f t="shared" si="7"/>
        <v>0.76000003267717564</v>
      </c>
      <c r="U138" s="2">
        <f t="shared" si="8"/>
        <v>0.23999996732282436</v>
      </c>
    </row>
    <row r="139" spans="1:21" x14ac:dyDescent="0.3">
      <c r="A139">
        <v>10138</v>
      </c>
      <c r="B139" t="s">
        <v>156</v>
      </c>
      <c r="C139" t="s">
        <v>157</v>
      </c>
      <c r="D139" t="s">
        <v>30</v>
      </c>
      <c r="E139">
        <v>47</v>
      </c>
      <c r="F139" t="s">
        <v>40</v>
      </c>
      <c r="G139" t="s">
        <v>41</v>
      </c>
      <c r="H139" t="s">
        <v>42</v>
      </c>
      <c r="I139" t="s">
        <v>43</v>
      </c>
      <c r="J139">
        <v>9</v>
      </c>
      <c r="K139" s="1">
        <v>45862</v>
      </c>
      <c r="L139" s="1">
        <v>45868</v>
      </c>
      <c r="M139" t="s">
        <v>72</v>
      </c>
      <c r="N139" t="s">
        <v>26</v>
      </c>
      <c r="O139">
        <v>22989.53</v>
      </c>
      <c r="P139">
        <v>15862.78</v>
      </c>
      <c r="Q139">
        <v>7126.75</v>
      </c>
      <c r="R139" t="s">
        <v>32</v>
      </c>
      <c r="S139">
        <f t="shared" si="6"/>
        <v>6</v>
      </c>
      <c r="T139" s="2">
        <f t="shared" si="7"/>
        <v>0.69000018704166644</v>
      </c>
      <c r="U139" s="2">
        <f t="shared" si="8"/>
        <v>0.30999981295833368</v>
      </c>
    </row>
    <row r="140" spans="1:21" x14ac:dyDescent="0.3">
      <c r="A140">
        <v>10139</v>
      </c>
      <c r="B140" t="s">
        <v>121</v>
      </c>
      <c r="C140" t="s">
        <v>122</v>
      </c>
      <c r="D140" t="s">
        <v>20</v>
      </c>
      <c r="E140">
        <v>23</v>
      </c>
      <c r="F140" t="s">
        <v>59</v>
      </c>
      <c r="G140" t="s">
        <v>88</v>
      </c>
      <c r="H140" t="s">
        <v>89</v>
      </c>
      <c r="I140" t="s">
        <v>62</v>
      </c>
      <c r="J140">
        <v>14</v>
      </c>
      <c r="K140" s="1">
        <v>45736</v>
      </c>
      <c r="L140" s="1">
        <v>45745</v>
      </c>
      <c r="M140" t="s">
        <v>96</v>
      </c>
      <c r="N140" t="s">
        <v>51</v>
      </c>
      <c r="O140">
        <v>108166.22</v>
      </c>
      <c r="P140">
        <v>88696.3</v>
      </c>
      <c r="Q140">
        <v>19469.919999999998</v>
      </c>
      <c r="R140" t="s">
        <v>32</v>
      </c>
      <c r="S140">
        <f t="shared" si="6"/>
        <v>9</v>
      </c>
      <c r="T140" s="2">
        <f t="shared" si="7"/>
        <v>0.81999999630198783</v>
      </c>
      <c r="U140" s="2">
        <f t="shared" si="8"/>
        <v>0.18000000369801217</v>
      </c>
    </row>
    <row r="141" spans="1:21" x14ac:dyDescent="0.3">
      <c r="A141">
        <v>10140</v>
      </c>
      <c r="B141" t="s">
        <v>108</v>
      </c>
      <c r="C141" t="s">
        <v>109</v>
      </c>
      <c r="D141" t="s">
        <v>20</v>
      </c>
      <c r="E141">
        <v>34</v>
      </c>
      <c r="F141" t="s">
        <v>40</v>
      </c>
      <c r="G141" t="s">
        <v>41</v>
      </c>
      <c r="H141" t="s">
        <v>42</v>
      </c>
      <c r="I141" t="s">
        <v>43</v>
      </c>
      <c r="J141">
        <v>9</v>
      </c>
      <c r="K141" s="1">
        <v>45902</v>
      </c>
      <c r="L141" s="1">
        <v>45911</v>
      </c>
      <c r="M141" t="s">
        <v>44</v>
      </c>
      <c r="N141" t="s">
        <v>26</v>
      </c>
      <c r="O141">
        <v>31975.22</v>
      </c>
      <c r="P141">
        <v>19504.88</v>
      </c>
      <c r="Q141">
        <v>12470.34</v>
      </c>
      <c r="R141" t="s">
        <v>27</v>
      </c>
      <c r="S141">
        <f t="shared" si="6"/>
        <v>9</v>
      </c>
      <c r="T141" s="2">
        <f t="shared" si="7"/>
        <v>0.60999986864828448</v>
      </c>
      <c r="U141" s="2">
        <f t="shared" si="8"/>
        <v>0.39000013135171546</v>
      </c>
    </row>
    <row r="142" spans="1:21" x14ac:dyDescent="0.3">
      <c r="A142">
        <v>10141</v>
      </c>
      <c r="B142" t="s">
        <v>92</v>
      </c>
      <c r="C142" t="s">
        <v>93</v>
      </c>
      <c r="D142" t="s">
        <v>20</v>
      </c>
      <c r="E142">
        <v>40</v>
      </c>
      <c r="F142" t="s">
        <v>54</v>
      </c>
      <c r="G142" t="s">
        <v>41</v>
      </c>
      <c r="H142" t="s">
        <v>42</v>
      </c>
      <c r="I142" t="s">
        <v>43</v>
      </c>
      <c r="J142">
        <v>9</v>
      </c>
      <c r="K142" s="1">
        <v>45738</v>
      </c>
      <c r="L142" s="1">
        <v>45748</v>
      </c>
      <c r="M142" t="s">
        <v>72</v>
      </c>
      <c r="N142" t="s">
        <v>26</v>
      </c>
      <c r="O142">
        <v>11425.33</v>
      </c>
      <c r="P142">
        <v>6855.2</v>
      </c>
      <c r="Q142">
        <v>4570.13</v>
      </c>
      <c r="R142" t="s">
        <v>27</v>
      </c>
      <c r="S142">
        <f t="shared" si="6"/>
        <v>10</v>
      </c>
      <c r="T142" s="2">
        <f t="shared" si="7"/>
        <v>0.60000017504964842</v>
      </c>
      <c r="U142" s="2">
        <f t="shared" si="8"/>
        <v>0.39999982495035158</v>
      </c>
    </row>
    <row r="143" spans="1:21" x14ac:dyDescent="0.3">
      <c r="A143">
        <v>10142</v>
      </c>
      <c r="B143" t="s">
        <v>102</v>
      </c>
      <c r="C143" t="s">
        <v>103</v>
      </c>
      <c r="D143" t="s">
        <v>30</v>
      </c>
      <c r="E143">
        <v>59</v>
      </c>
      <c r="F143" t="s">
        <v>75</v>
      </c>
      <c r="G143" t="s">
        <v>22</v>
      </c>
      <c r="H143" t="s">
        <v>23</v>
      </c>
      <c r="I143" t="s">
        <v>24</v>
      </c>
      <c r="J143">
        <v>15</v>
      </c>
      <c r="K143" s="1">
        <v>45722</v>
      </c>
      <c r="L143" s="1">
        <v>45735</v>
      </c>
      <c r="M143" t="s">
        <v>66</v>
      </c>
      <c r="N143" t="s">
        <v>26</v>
      </c>
      <c r="O143">
        <v>79234.58</v>
      </c>
      <c r="P143">
        <v>52294.82</v>
      </c>
      <c r="Q143">
        <v>26939.759999999998</v>
      </c>
      <c r="R143" t="s">
        <v>27</v>
      </c>
      <c r="S143">
        <f t="shared" si="6"/>
        <v>13</v>
      </c>
      <c r="T143" s="2">
        <f t="shared" si="7"/>
        <v>0.65999996466189381</v>
      </c>
      <c r="U143" s="2">
        <f t="shared" si="8"/>
        <v>0.34000003533810613</v>
      </c>
    </row>
    <row r="144" spans="1:21" x14ac:dyDescent="0.3">
      <c r="A144">
        <v>10143</v>
      </c>
      <c r="B144" t="s">
        <v>156</v>
      </c>
      <c r="C144" t="s">
        <v>157</v>
      </c>
      <c r="D144" t="s">
        <v>30</v>
      </c>
      <c r="E144">
        <v>47</v>
      </c>
      <c r="F144" t="s">
        <v>40</v>
      </c>
      <c r="G144" t="s">
        <v>70</v>
      </c>
      <c r="H144" t="s">
        <v>71</v>
      </c>
      <c r="I144" t="s">
        <v>43</v>
      </c>
      <c r="J144">
        <v>11</v>
      </c>
      <c r="K144" s="1">
        <v>45930</v>
      </c>
      <c r="L144" s="1">
        <v>45935</v>
      </c>
      <c r="M144" t="s">
        <v>72</v>
      </c>
      <c r="N144" t="s">
        <v>51</v>
      </c>
      <c r="O144">
        <v>19807.11</v>
      </c>
      <c r="P144">
        <v>13864.98</v>
      </c>
      <c r="Q144">
        <v>5942.13</v>
      </c>
      <c r="R144" t="s">
        <v>27</v>
      </c>
      <c r="S144">
        <f t="shared" si="6"/>
        <v>5</v>
      </c>
      <c r="T144" s="2">
        <f t="shared" si="7"/>
        <v>0.70000015146076333</v>
      </c>
      <c r="U144" s="2">
        <f t="shared" si="8"/>
        <v>0.29999984853923667</v>
      </c>
    </row>
    <row r="145" spans="1:21" x14ac:dyDescent="0.3">
      <c r="A145">
        <v>10144</v>
      </c>
      <c r="B145" t="s">
        <v>86</v>
      </c>
      <c r="C145" t="s">
        <v>87</v>
      </c>
      <c r="D145" t="s">
        <v>30</v>
      </c>
      <c r="E145">
        <v>23</v>
      </c>
      <c r="F145" t="s">
        <v>31</v>
      </c>
      <c r="G145" t="s">
        <v>47</v>
      </c>
      <c r="H145" t="s">
        <v>48</v>
      </c>
      <c r="I145" t="s">
        <v>49</v>
      </c>
      <c r="J145">
        <v>8</v>
      </c>
      <c r="K145" s="1">
        <v>45747</v>
      </c>
      <c r="L145" s="1">
        <v>45759</v>
      </c>
      <c r="M145" t="s">
        <v>101</v>
      </c>
      <c r="N145" t="s">
        <v>26</v>
      </c>
      <c r="O145">
        <v>23394.47</v>
      </c>
      <c r="P145">
        <v>19651.349999999999</v>
      </c>
      <c r="Q145">
        <v>3743.12</v>
      </c>
      <c r="R145" t="s">
        <v>27</v>
      </c>
      <c r="S145">
        <f t="shared" si="6"/>
        <v>12</v>
      </c>
      <c r="T145" s="2">
        <f t="shared" si="7"/>
        <v>0.83999979482330644</v>
      </c>
      <c r="U145" s="2">
        <f t="shared" si="8"/>
        <v>0.16000020517669344</v>
      </c>
    </row>
    <row r="146" spans="1:21" x14ac:dyDescent="0.3">
      <c r="A146">
        <v>10145</v>
      </c>
      <c r="B146" t="s">
        <v>57</v>
      </c>
      <c r="C146" t="s">
        <v>58</v>
      </c>
      <c r="D146" t="s">
        <v>20</v>
      </c>
      <c r="E146">
        <v>45</v>
      </c>
      <c r="F146" t="s">
        <v>59</v>
      </c>
      <c r="G146" t="s">
        <v>70</v>
      </c>
      <c r="H146" t="s">
        <v>71</v>
      </c>
      <c r="I146" t="s">
        <v>43</v>
      </c>
      <c r="J146">
        <v>11</v>
      </c>
      <c r="K146" s="1">
        <v>45659</v>
      </c>
      <c r="L146" s="1">
        <v>45661</v>
      </c>
      <c r="M146" t="s">
        <v>72</v>
      </c>
      <c r="N146" t="s">
        <v>51</v>
      </c>
      <c r="O146">
        <v>23752.400000000001</v>
      </c>
      <c r="P146">
        <v>14964.01</v>
      </c>
      <c r="Q146">
        <v>8788.39</v>
      </c>
      <c r="R146" t="s">
        <v>27</v>
      </c>
      <c r="S146">
        <f t="shared" si="6"/>
        <v>2</v>
      </c>
      <c r="T146" s="2">
        <f t="shared" si="7"/>
        <v>0.62999991579798253</v>
      </c>
      <c r="U146" s="2">
        <f t="shared" si="8"/>
        <v>0.37000008420201741</v>
      </c>
    </row>
    <row r="147" spans="1:21" x14ac:dyDescent="0.3">
      <c r="A147">
        <v>10146</v>
      </c>
      <c r="B147" t="s">
        <v>139</v>
      </c>
      <c r="C147" t="s">
        <v>140</v>
      </c>
      <c r="D147" t="s">
        <v>20</v>
      </c>
      <c r="E147">
        <v>21</v>
      </c>
      <c r="F147" t="s">
        <v>119</v>
      </c>
      <c r="G147" t="s">
        <v>88</v>
      </c>
      <c r="H147" t="s">
        <v>89</v>
      </c>
      <c r="I147" t="s">
        <v>62</v>
      </c>
      <c r="J147">
        <v>14</v>
      </c>
      <c r="K147" s="1">
        <v>45978</v>
      </c>
      <c r="L147" s="1">
        <v>45992</v>
      </c>
      <c r="M147" t="s">
        <v>96</v>
      </c>
      <c r="N147" t="s">
        <v>51</v>
      </c>
      <c r="O147">
        <v>291916.27</v>
      </c>
      <c r="P147">
        <v>230613.85</v>
      </c>
      <c r="Q147">
        <v>61302.42</v>
      </c>
      <c r="R147" t="s">
        <v>27</v>
      </c>
      <c r="S147">
        <f t="shared" si="6"/>
        <v>14</v>
      </c>
      <c r="T147" s="2">
        <f t="shared" si="7"/>
        <v>0.78999998869538857</v>
      </c>
      <c r="U147" s="2">
        <f t="shared" si="8"/>
        <v>0.21000001130461141</v>
      </c>
    </row>
    <row r="148" spans="1:21" x14ac:dyDescent="0.3">
      <c r="A148">
        <v>10147</v>
      </c>
      <c r="B148" t="s">
        <v>110</v>
      </c>
      <c r="C148" t="s">
        <v>111</v>
      </c>
      <c r="D148" t="s">
        <v>20</v>
      </c>
      <c r="E148">
        <v>44</v>
      </c>
      <c r="F148" t="s">
        <v>35</v>
      </c>
      <c r="G148" t="s">
        <v>36</v>
      </c>
      <c r="H148" t="s">
        <v>37</v>
      </c>
      <c r="I148" t="s">
        <v>24</v>
      </c>
      <c r="J148">
        <v>12</v>
      </c>
      <c r="K148" s="1">
        <v>45723</v>
      </c>
      <c r="L148" s="1">
        <v>45731</v>
      </c>
      <c r="M148" t="s">
        <v>66</v>
      </c>
      <c r="N148" t="s">
        <v>26</v>
      </c>
      <c r="O148">
        <v>28307.69</v>
      </c>
      <c r="P148">
        <v>22646.15</v>
      </c>
      <c r="Q148">
        <v>5661.54</v>
      </c>
      <c r="R148" t="s">
        <v>27</v>
      </c>
      <c r="S148">
        <f t="shared" si="6"/>
        <v>8</v>
      </c>
      <c r="T148" s="2">
        <f t="shared" si="7"/>
        <v>0.79999992934782038</v>
      </c>
      <c r="U148" s="2">
        <f t="shared" si="8"/>
        <v>0.20000007065217967</v>
      </c>
    </row>
    <row r="149" spans="1:21" x14ac:dyDescent="0.3">
      <c r="A149">
        <v>10148</v>
      </c>
      <c r="B149" t="s">
        <v>78</v>
      </c>
      <c r="C149" t="s">
        <v>79</v>
      </c>
      <c r="D149" t="s">
        <v>20</v>
      </c>
      <c r="E149">
        <v>67</v>
      </c>
      <c r="F149" t="s">
        <v>35</v>
      </c>
      <c r="G149" t="s">
        <v>47</v>
      </c>
      <c r="H149" t="s">
        <v>48</v>
      </c>
      <c r="I149" t="s">
        <v>49</v>
      </c>
      <c r="J149">
        <v>8</v>
      </c>
      <c r="K149" s="1">
        <v>45874</v>
      </c>
      <c r="L149" s="1">
        <v>45882</v>
      </c>
      <c r="M149" t="s">
        <v>85</v>
      </c>
      <c r="N149" t="s">
        <v>26</v>
      </c>
      <c r="O149">
        <v>53317.2</v>
      </c>
      <c r="P149">
        <v>37855.21</v>
      </c>
      <c r="Q149">
        <v>15461.99</v>
      </c>
      <c r="R149" t="s">
        <v>27</v>
      </c>
      <c r="S149">
        <f t="shared" si="6"/>
        <v>8</v>
      </c>
      <c r="T149" s="2">
        <f t="shared" si="7"/>
        <v>0.70999996248865282</v>
      </c>
      <c r="U149" s="2">
        <f t="shared" si="8"/>
        <v>0.29000003751134718</v>
      </c>
    </row>
    <row r="150" spans="1:21" x14ac:dyDescent="0.3">
      <c r="A150">
        <v>10149</v>
      </c>
      <c r="B150" t="s">
        <v>160</v>
      </c>
      <c r="C150" t="s">
        <v>161</v>
      </c>
      <c r="D150" t="s">
        <v>20</v>
      </c>
      <c r="E150">
        <v>18</v>
      </c>
      <c r="F150" t="s">
        <v>54</v>
      </c>
      <c r="G150" t="s">
        <v>41</v>
      </c>
      <c r="H150" t="s">
        <v>42</v>
      </c>
      <c r="I150" t="s">
        <v>43</v>
      </c>
      <c r="J150">
        <v>9</v>
      </c>
      <c r="K150" s="1">
        <v>45673</v>
      </c>
      <c r="L150" s="1">
        <v>45679</v>
      </c>
      <c r="M150" t="s">
        <v>44</v>
      </c>
      <c r="N150" t="s">
        <v>26</v>
      </c>
      <c r="O150">
        <v>32378.71</v>
      </c>
      <c r="P150">
        <v>20722.37</v>
      </c>
      <c r="Q150">
        <v>11656.34</v>
      </c>
      <c r="R150" t="s">
        <v>32</v>
      </c>
      <c r="S150">
        <f t="shared" si="6"/>
        <v>6</v>
      </c>
      <c r="T150" s="2">
        <f t="shared" si="7"/>
        <v>0.6399998641082365</v>
      </c>
      <c r="U150" s="2">
        <f t="shared" si="8"/>
        <v>0.36000013589176344</v>
      </c>
    </row>
    <row r="151" spans="1:21" x14ac:dyDescent="0.3">
      <c r="A151">
        <v>10150</v>
      </c>
      <c r="B151" t="s">
        <v>120</v>
      </c>
      <c r="C151" t="s">
        <v>74</v>
      </c>
      <c r="D151" t="s">
        <v>20</v>
      </c>
      <c r="E151">
        <v>61</v>
      </c>
      <c r="F151" t="s">
        <v>69</v>
      </c>
      <c r="G151" t="s">
        <v>88</v>
      </c>
      <c r="H151" t="s">
        <v>89</v>
      </c>
      <c r="I151" t="s">
        <v>62</v>
      </c>
      <c r="J151">
        <v>14</v>
      </c>
      <c r="K151" s="1">
        <v>45845</v>
      </c>
      <c r="L151" s="1">
        <v>45855</v>
      </c>
      <c r="M151" t="s">
        <v>96</v>
      </c>
      <c r="N151" t="s">
        <v>26</v>
      </c>
      <c r="O151">
        <v>169667.46</v>
      </c>
      <c r="P151">
        <v>139127.32</v>
      </c>
      <c r="Q151">
        <v>30540.14</v>
      </c>
      <c r="R151" t="s">
        <v>32</v>
      </c>
      <c r="S151">
        <f t="shared" si="6"/>
        <v>10</v>
      </c>
      <c r="T151" s="2">
        <f t="shared" si="7"/>
        <v>0.82000001650286991</v>
      </c>
      <c r="U151" s="2">
        <f t="shared" si="8"/>
        <v>0.17999998349713023</v>
      </c>
    </row>
    <row r="152" spans="1:21" x14ac:dyDescent="0.3">
      <c r="A152">
        <v>10151</v>
      </c>
      <c r="B152" t="s">
        <v>133</v>
      </c>
      <c r="C152" t="s">
        <v>134</v>
      </c>
      <c r="D152" t="s">
        <v>20</v>
      </c>
      <c r="E152">
        <v>56</v>
      </c>
      <c r="F152" t="s">
        <v>40</v>
      </c>
      <c r="G152" t="s">
        <v>36</v>
      </c>
      <c r="H152" t="s">
        <v>37</v>
      </c>
      <c r="I152" t="s">
        <v>24</v>
      </c>
      <c r="J152">
        <v>12</v>
      </c>
      <c r="K152" s="1">
        <v>45704</v>
      </c>
      <c r="L152" s="1">
        <v>45711</v>
      </c>
      <c r="M152" t="s">
        <v>76</v>
      </c>
      <c r="N152" t="s">
        <v>26</v>
      </c>
      <c r="O152">
        <v>246163.49</v>
      </c>
      <c r="P152">
        <v>169852.81</v>
      </c>
      <c r="Q152">
        <v>76310.679999999993</v>
      </c>
      <c r="R152" t="s">
        <v>32</v>
      </c>
      <c r="S152">
        <f t="shared" si="6"/>
        <v>7</v>
      </c>
      <c r="T152" s="2">
        <f t="shared" si="7"/>
        <v>0.69000000771844761</v>
      </c>
      <c r="U152" s="2">
        <f t="shared" si="8"/>
        <v>0.30999999228155239</v>
      </c>
    </row>
    <row r="153" spans="1:21" x14ac:dyDescent="0.3">
      <c r="A153">
        <v>10152</v>
      </c>
      <c r="B153" t="s">
        <v>137</v>
      </c>
      <c r="C153" t="s">
        <v>138</v>
      </c>
      <c r="D153" t="s">
        <v>30</v>
      </c>
      <c r="E153">
        <v>56</v>
      </c>
      <c r="F153" t="s">
        <v>59</v>
      </c>
      <c r="G153" t="s">
        <v>55</v>
      </c>
      <c r="H153" t="s">
        <v>56</v>
      </c>
      <c r="I153" t="s">
        <v>49</v>
      </c>
      <c r="J153">
        <v>10</v>
      </c>
      <c r="K153" s="1">
        <v>45760</v>
      </c>
      <c r="L153" s="1">
        <v>45765</v>
      </c>
      <c r="M153" t="s">
        <v>101</v>
      </c>
      <c r="N153" t="s">
        <v>26</v>
      </c>
      <c r="O153">
        <v>23099.19</v>
      </c>
      <c r="P153">
        <v>17324.39</v>
      </c>
      <c r="Q153">
        <v>5774.8</v>
      </c>
      <c r="R153" t="s">
        <v>32</v>
      </c>
      <c r="S153">
        <f t="shared" si="6"/>
        <v>5</v>
      </c>
      <c r="T153" s="2">
        <f t="shared" si="7"/>
        <v>0.74999989177109672</v>
      </c>
      <c r="U153" s="2">
        <f t="shared" si="8"/>
        <v>0.25000010822890328</v>
      </c>
    </row>
    <row r="154" spans="1:21" x14ac:dyDescent="0.3">
      <c r="A154">
        <v>10153</v>
      </c>
      <c r="B154" t="s">
        <v>133</v>
      </c>
      <c r="C154" t="s">
        <v>134</v>
      </c>
      <c r="D154" t="s">
        <v>20</v>
      </c>
      <c r="E154">
        <v>56</v>
      </c>
      <c r="F154" t="s">
        <v>40</v>
      </c>
      <c r="G154" t="s">
        <v>88</v>
      </c>
      <c r="H154" t="s">
        <v>89</v>
      </c>
      <c r="I154" t="s">
        <v>62</v>
      </c>
      <c r="J154">
        <v>14</v>
      </c>
      <c r="K154" s="1">
        <v>45719</v>
      </c>
      <c r="L154" s="1">
        <v>45723</v>
      </c>
      <c r="M154" t="s">
        <v>96</v>
      </c>
      <c r="N154" t="s">
        <v>26</v>
      </c>
      <c r="O154">
        <v>243364.81</v>
      </c>
      <c r="P154">
        <v>182523.61</v>
      </c>
      <c r="Q154">
        <v>60841.2</v>
      </c>
      <c r="R154" t="s">
        <v>27</v>
      </c>
      <c r="S154">
        <f t="shared" si="6"/>
        <v>4</v>
      </c>
      <c r="T154" s="2">
        <f t="shared" si="7"/>
        <v>0.75000001027264374</v>
      </c>
      <c r="U154" s="2">
        <f t="shared" si="8"/>
        <v>0.24999998972735621</v>
      </c>
    </row>
    <row r="155" spans="1:21" x14ac:dyDescent="0.3">
      <c r="A155">
        <v>10154</v>
      </c>
      <c r="B155" t="s">
        <v>160</v>
      </c>
      <c r="C155" t="s">
        <v>161</v>
      </c>
      <c r="D155" t="s">
        <v>20</v>
      </c>
      <c r="E155">
        <v>18</v>
      </c>
      <c r="F155" t="s">
        <v>54</v>
      </c>
      <c r="G155" t="s">
        <v>60</v>
      </c>
      <c r="H155" t="s">
        <v>61</v>
      </c>
      <c r="I155" t="s">
        <v>62</v>
      </c>
      <c r="J155">
        <v>18</v>
      </c>
      <c r="K155" s="1">
        <v>45724</v>
      </c>
      <c r="L155" s="1">
        <v>45727</v>
      </c>
      <c r="M155" t="s">
        <v>96</v>
      </c>
      <c r="N155" t="s">
        <v>51</v>
      </c>
      <c r="O155">
        <v>279014.36</v>
      </c>
      <c r="P155">
        <v>198100.2</v>
      </c>
      <c r="Q155">
        <v>80914.16</v>
      </c>
      <c r="R155" t="s">
        <v>32</v>
      </c>
      <c r="S155">
        <f t="shared" si="6"/>
        <v>3</v>
      </c>
      <c r="T155" s="2">
        <f t="shared" si="7"/>
        <v>0.71000001576979777</v>
      </c>
      <c r="U155" s="2">
        <f t="shared" si="8"/>
        <v>0.28999998423020235</v>
      </c>
    </row>
    <row r="156" spans="1:21" x14ac:dyDescent="0.3">
      <c r="A156">
        <v>10155</v>
      </c>
      <c r="B156" t="s">
        <v>102</v>
      </c>
      <c r="C156" t="s">
        <v>103</v>
      </c>
      <c r="D156" t="s">
        <v>30</v>
      </c>
      <c r="E156">
        <v>59</v>
      </c>
      <c r="F156" t="s">
        <v>75</v>
      </c>
      <c r="G156" t="s">
        <v>60</v>
      </c>
      <c r="H156" t="s">
        <v>61</v>
      </c>
      <c r="I156" t="s">
        <v>62</v>
      </c>
      <c r="J156">
        <v>18</v>
      </c>
      <c r="K156" s="1">
        <v>45750</v>
      </c>
      <c r="L156" s="1">
        <v>45753</v>
      </c>
      <c r="M156" t="s">
        <v>63</v>
      </c>
      <c r="N156" t="s">
        <v>26</v>
      </c>
      <c r="O156">
        <v>39435.42</v>
      </c>
      <c r="P156">
        <v>33125.75</v>
      </c>
      <c r="Q156">
        <v>6309.67</v>
      </c>
      <c r="R156" t="s">
        <v>27</v>
      </c>
      <c r="S156">
        <f t="shared" si="6"/>
        <v>3</v>
      </c>
      <c r="T156" s="2">
        <f t="shared" si="7"/>
        <v>0.83999992899784004</v>
      </c>
      <c r="U156" s="2">
        <f t="shared" si="8"/>
        <v>0.16000007100215999</v>
      </c>
    </row>
    <row r="157" spans="1:21" x14ac:dyDescent="0.3">
      <c r="A157">
        <v>10156</v>
      </c>
      <c r="B157" t="s">
        <v>64</v>
      </c>
      <c r="C157" t="s">
        <v>65</v>
      </c>
      <c r="D157" t="s">
        <v>20</v>
      </c>
      <c r="E157">
        <v>27</v>
      </c>
      <c r="F157" t="s">
        <v>31</v>
      </c>
      <c r="G157" t="s">
        <v>60</v>
      </c>
      <c r="H157" t="s">
        <v>61</v>
      </c>
      <c r="I157" t="s">
        <v>62</v>
      </c>
      <c r="J157">
        <v>18</v>
      </c>
      <c r="K157" s="1">
        <v>45778</v>
      </c>
      <c r="L157" s="1">
        <v>45783</v>
      </c>
      <c r="M157" t="s">
        <v>96</v>
      </c>
      <c r="N157" t="s">
        <v>26</v>
      </c>
      <c r="O157">
        <v>148075.41</v>
      </c>
      <c r="P157">
        <v>99210.52</v>
      </c>
      <c r="Q157">
        <v>48864.89</v>
      </c>
      <c r="R157" t="s">
        <v>32</v>
      </c>
      <c r="S157">
        <f t="shared" si="6"/>
        <v>5</v>
      </c>
      <c r="T157" s="2">
        <f t="shared" si="7"/>
        <v>0.66999996825941599</v>
      </c>
      <c r="U157" s="2">
        <f t="shared" si="8"/>
        <v>0.33000003174058407</v>
      </c>
    </row>
    <row r="158" spans="1:21" x14ac:dyDescent="0.3">
      <c r="A158">
        <v>10157</v>
      </c>
      <c r="B158" t="s">
        <v>120</v>
      </c>
      <c r="C158" t="s">
        <v>74</v>
      </c>
      <c r="D158" t="s">
        <v>20</v>
      </c>
      <c r="E158">
        <v>61</v>
      </c>
      <c r="F158" t="s">
        <v>69</v>
      </c>
      <c r="G158" t="s">
        <v>60</v>
      </c>
      <c r="H158" t="s">
        <v>61</v>
      </c>
      <c r="I158" t="s">
        <v>62</v>
      </c>
      <c r="J158">
        <v>18</v>
      </c>
      <c r="K158" s="1">
        <v>45855</v>
      </c>
      <c r="L158" s="1">
        <v>45866</v>
      </c>
      <c r="M158" t="s">
        <v>96</v>
      </c>
      <c r="N158" t="s">
        <v>26</v>
      </c>
      <c r="O158">
        <v>251855.61</v>
      </c>
      <c r="P158">
        <v>193928.82</v>
      </c>
      <c r="Q158">
        <v>57926.79</v>
      </c>
      <c r="R158" t="s">
        <v>32</v>
      </c>
      <c r="S158">
        <f t="shared" si="6"/>
        <v>11</v>
      </c>
      <c r="T158" s="2">
        <f t="shared" si="7"/>
        <v>0.77000000119115874</v>
      </c>
      <c r="U158" s="2">
        <f t="shared" si="8"/>
        <v>0.22999999880884131</v>
      </c>
    </row>
    <row r="159" spans="1:21" x14ac:dyDescent="0.3">
      <c r="A159">
        <v>10158</v>
      </c>
      <c r="B159" t="s">
        <v>67</v>
      </c>
      <c r="C159" t="s">
        <v>68</v>
      </c>
      <c r="D159" t="s">
        <v>20</v>
      </c>
      <c r="E159">
        <v>33</v>
      </c>
      <c r="F159" t="s">
        <v>69</v>
      </c>
      <c r="G159" t="s">
        <v>88</v>
      </c>
      <c r="H159" t="s">
        <v>89</v>
      </c>
      <c r="I159" t="s">
        <v>62</v>
      </c>
      <c r="J159">
        <v>14</v>
      </c>
      <c r="K159" s="1">
        <v>45712</v>
      </c>
      <c r="L159" s="1">
        <v>45724</v>
      </c>
      <c r="M159" t="s">
        <v>63</v>
      </c>
      <c r="N159" t="s">
        <v>26</v>
      </c>
      <c r="O159">
        <v>17154.53</v>
      </c>
      <c r="P159">
        <v>13037.44</v>
      </c>
      <c r="Q159">
        <v>4117.09</v>
      </c>
      <c r="R159" t="s">
        <v>27</v>
      </c>
      <c r="S159">
        <f t="shared" si="6"/>
        <v>12</v>
      </c>
      <c r="T159" s="2">
        <f t="shared" si="7"/>
        <v>0.75999983677780747</v>
      </c>
      <c r="U159" s="2">
        <f t="shared" si="8"/>
        <v>0.24000016322219264</v>
      </c>
    </row>
    <row r="160" spans="1:21" x14ac:dyDescent="0.3">
      <c r="A160">
        <v>10159</v>
      </c>
      <c r="B160" t="s">
        <v>90</v>
      </c>
      <c r="C160" t="s">
        <v>91</v>
      </c>
      <c r="D160" t="s">
        <v>20</v>
      </c>
      <c r="E160">
        <v>48</v>
      </c>
      <c r="F160" t="s">
        <v>84</v>
      </c>
      <c r="G160" t="s">
        <v>47</v>
      </c>
      <c r="H160" t="s">
        <v>48</v>
      </c>
      <c r="I160" t="s">
        <v>49</v>
      </c>
      <c r="J160">
        <v>8</v>
      </c>
      <c r="K160" s="1">
        <v>45671</v>
      </c>
      <c r="L160" s="1">
        <v>45679</v>
      </c>
      <c r="M160" t="s">
        <v>50</v>
      </c>
      <c r="N160" t="s">
        <v>51</v>
      </c>
      <c r="O160">
        <v>321184.17</v>
      </c>
      <c r="P160">
        <v>256947.34</v>
      </c>
      <c r="Q160">
        <v>64236.83</v>
      </c>
      <c r="R160" t="s">
        <v>27</v>
      </c>
      <c r="S160">
        <f t="shared" si="6"/>
        <v>8</v>
      </c>
      <c r="T160" s="2">
        <f t="shared" si="7"/>
        <v>0.80000001245391394</v>
      </c>
      <c r="U160" s="2">
        <f t="shared" si="8"/>
        <v>0.19999998754608611</v>
      </c>
    </row>
    <row r="161" spans="1:21" x14ac:dyDescent="0.3">
      <c r="A161">
        <v>10160</v>
      </c>
      <c r="B161" t="s">
        <v>57</v>
      </c>
      <c r="C161" t="s">
        <v>58</v>
      </c>
      <c r="D161" t="s">
        <v>20</v>
      </c>
      <c r="E161">
        <v>45</v>
      </c>
      <c r="F161" t="s">
        <v>59</v>
      </c>
      <c r="G161" t="s">
        <v>41</v>
      </c>
      <c r="H161" t="s">
        <v>42</v>
      </c>
      <c r="I161" t="s">
        <v>43</v>
      </c>
      <c r="J161">
        <v>9</v>
      </c>
      <c r="K161" s="1">
        <v>45983</v>
      </c>
      <c r="L161" s="1">
        <v>45991</v>
      </c>
      <c r="M161" t="s">
        <v>112</v>
      </c>
      <c r="N161" t="s">
        <v>26</v>
      </c>
      <c r="O161">
        <v>70381.149999999994</v>
      </c>
      <c r="P161">
        <v>43636.31</v>
      </c>
      <c r="Q161">
        <v>26744.84</v>
      </c>
      <c r="R161" t="s">
        <v>32</v>
      </c>
      <c r="S161">
        <f t="shared" si="6"/>
        <v>8</v>
      </c>
      <c r="T161" s="2">
        <f t="shared" si="7"/>
        <v>0.61999995737495051</v>
      </c>
      <c r="U161" s="2">
        <f t="shared" si="8"/>
        <v>0.38000004262504949</v>
      </c>
    </row>
    <row r="162" spans="1:21" x14ac:dyDescent="0.3">
      <c r="A162">
        <v>10161</v>
      </c>
      <c r="B162" t="s">
        <v>113</v>
      </c>
      <c r="C162" t="s">
        <v>114</v>
      </c>
      <c r="D162" t="s">
        <v>30</v>
      </c>
      <c r="E162">
        <v>33</v>
      </c>
      <c r="F162" t="s">
        <v>59</v>
      </c>
      <c r="G162" t="s">
        <v>55</v>
      </c>
      <c r="H162" t="s">
        <v>56</v>
      </c>
      <c r="I162" t="s">
        <v>49</v>
      </c>
      <c r="J162">
        <v>10</v>
      </c>
      <c r="K162" s="1">
        <v>45827</v>
      </c>
      <c r="L162" s="1">
        <v>45829</v>
      </c>
      <c r="M162" t="s">
        <v>101</v>
      </c>
      <c r="N162" t="s">
        <v>26</v>
      </c>
      <c r="O162">
        <v>51237.45</v>
      </c>
      <c r="P162">
        <v>36378.589999999997</v>
      </c>
      <c r="Q162">
        <v>14858.86</v>
      </c>
      <c r="R162" t="s">
        <v>32</v>
      </c>
      <c r="S162">
        <f t="shared" si="6"/>
        <v>2</v>
      </c>
      <c r="T162" s="2">
        <f t="shared" si="7"/>
        <v>0.7100000097584872</v>
      </c>
      <c r="U162" s="2">
        <f t="shared" si="8"/>
        <v>0.28999999024151285</v>
      </c>
    </row>
    <row r="163" spans="1:21" x14ac:dyDescent="0.3">
      <c r="A163">
        <v>10162</v>
      </c>
      <c r="B163" t="s">
        <v>57</v>
      </c>
      <c r="C163" t="s">
        <v>58</v>
      </c>
      <c r="D163" t="s">
        <v>20</v>
      </c>
      <c r="E163">
        <v>45</v>
      </c>
      <c r="F163" t="s">
        <v>59</v>
      </c>
      <c r="G163" t="s">
        <v>60</v>
      </c>
      <c r="H163" t="s">
        <v>61</v>
      </c>
      <c r="I163" t="s">
        <v>62</v>
      </c>
      <c r="J163">
        <v>18</v>
      </c>
      <c r="K163" s="1">
        <v>45966</v>
      </c>
      <c r="L163" s="1">
        <v>45973</v>
      </c>
      <c r="M163" t="s">
        <v>96</v>
      </c>
      <c r="N163" t="s">
        <v>26</v>
      </c>
      <c r="O163">
        <v>259911.52</v>
      </c>
      <c r="P163">
        <v>179338.95</v>
      </c>
      <c r="Q163">
        <v>80572.570000000007</v>
      </c>
      <c r="R163" t="s">
        <v>32</v>
      </c>
      <c r="S163">
        <f t="shared" si="6"/>
        <v>7</v>
      </c>
      <c r="T163" s="2">
        <f t="shared" si="7"/>
        <v>0.69000000461695588</v>
      </c>
      <c r="U163" s="2">
        <f t="shared" si="8"/>
        <v>0.30999999538304424</v>
      </c>
    </row>
    <row r="164" spans="1:21" x14ac:dyDescent="0.3">
      <c r="A164">
        <v>10163</v>
      </c>
      <c r="B164" t="s">
        <v>148</v>
      </c>
      <c r="C164" t="s">
        <v>149</v>
      </c>
      <c r="D164" t="s">
        <v>30</v>
      </c>
      <c r="E164">
        <v>19</v>
      </c>
      <c r="F164" t="s">
        <v>21</v>
      </c>
      <c r="G164" t="s">
        <v>88</v>
      </c>
      <c r="H164" t="s">
        <v>89</v>
      </c>
      <c r="I164" t="s">
        <v>62</v>
      </c>
      <c r="J164">
        <v>14</v>
      </c>
      <c r="K164" s="1">
        <v>45817</v>
      </c>
      <c r="L164" s="1">
        <v>45829</v>
      </c>
      <c r="M164" t="s">
        <v>63</v>
      </c>
      <c r="N164" t="s">
        <v>26</v>
      </c>
      <c r="O164">
        <v>39127.68</v>
      </c>
      <c r="P164">
        <v>32475.97</v>
      </c>
      <c r="Q164">
        <v>6651.71</v>
      </c>
      <c r="R164" t="s">
        <v>27</v>
      </c>
      <c r="S164">
        <f t="shared" si="6"/>
        <v>12</v>
      </c>
      <c r="T164" s="2">
        <f t="shared" si="7"/>
        <v>0.82999988754763898</v>
      </c>
      <c r="U164" s="2">
        <f t="shared" si="8"/>
        <v>0.1700001124523611</v>
      </c>
    </row>
    <row r="165" spans="1:21" x14ac:dyDescent="0.3">
      <c r="A165">
        <v>10164</v>
      </c>
      <c r="B165" t="s">
        <v>135</v>
      </c>
      <c r="C165" t="s">
        <v>136</v>
      </c>
      <c r="D165" t="s">
        <v>30</v>
      </c>
      <c r="E165">
        <v>52</v>
      </c>
      <c r="F165" t="s">
        <v>35</v>
      </c>
      <c r="G165" t="s">
        <v>22</v>
      </c>
      <c r="H165" t="s">
        <v>23</v>
      </c>
      <c r="I165" t="s">
        <v>24</v>
      </c>
      <c r="J165">
        <v>15</v>
      </c>
      <c r="K165" s="1">
        <v>45751</v>
      </c>
      <c r="L165" s="1">
        <v>45764</v>
      </c>
      <c r="M165" t="s">
        <v>25</v>
      </c>
      <c r="N165" t="s">
        <v>51</v>
      </c>
      <c r="O165">
        <v>212166.01</v>
      </c>
      <c r="P165">
        <v>178219.45</v>
      </c>
      <c r="Q165">
        <v>33946.559999999998</v>
      </c>
      <c r="R165" t="s">
        <v>27</v>
      </c>
      <c r="S165">
        <f t="shared" si="6"/>
        <v>13</v>
      </c>
      <c r="T165" s="2">
        <f t="shared" si="7"/>
        <v>0.84000000754126447</v>
      </c>
      <c r="U165" s="2">
        <f t="shared" si="8"/>
        <v>0.15999999245873547</v>
      </c>
    </row>
    <row r="166" spans="1:21" x14ac:dyDescent="0.3">
      <c r="A166">
        <v>10165</v>
      </c>
      <c r="B166" t="s">
        <v>64</v>
      </c>
      <c r="C166" t="s">
        <v>65</v>
      </c>
      <c r="D166" t="s">
        <v>20</v>
      </c>
      <c r="E166">
        <v>27</v>
      </c>
      <c r="F166" t="s">
        <v>31</v>
      </c>
      <c r="G166" t="s">
        <v>55</v>
      </c>
      <c r="H166" t="s">
        <v>56</v>
      </c>
      <c r="I166" t="s">
        <v>49</v>
      </c>
      <c r="J166">
        <v>10</v>
      </c>
      <c r="K166" s="1">
        <v>45891</v>
      </c>
      <c r="L166" s="1">
        <v>45899</v>
      </c>
      <c r="M166" t="s">
        <v>85</v>
      </c>
      <c r="N166" t="s">
        <v>51</v>
      </c>
      <c r="O166">
        <v>70244.95</v>
      </c>
      <c r="P166">
        <v>59005.760000000002</v>
      </c>
      <c r="Q166">
        <v>11239.19</v>
      </c>
      <c r="R166" t="s">
        <v>32</v>
      </c>
      <c r="S166">
        <f t="shared" si="6"/>
        <v>8</v>
      </c>
      <c r="T166" s="2">
        <f t="shared" si="7"/>
        <v>0.84000002847179767</v>
      </c>
      <c r="U166" s="2">
        <f t="shared" si="8"/>
        <v>0.15999997152820239</v>
      </c>
    </row>
    <row r="167" spans="1:21" x14ac:dyDescent="0.3">
      <c r="A167">
        <v>10166</v>
      </c>
      <c r="B167" t="s">
        <v>57</v>
      </c>
      <c r="C167" t="s">
        <v>58</v>
      </c>
      <c r="D167" t="s">
        <v>20</v>
      </c>
      <c r="E167">
        <v>45</v>
      </c>
      <c r="F167" t="s">
        <v>59</v>
      </c>
      <c r="G167" t="s">
        <v>60</v>
      </c>
      <c r="H167" t="s">
        <v>61</v>
      </c>
      <c r="I167" t="s">
        <v>62</v>
      </c>
      <c r="J167">
        <v>18</v>
      </c>
      <c r="K167" s="1">
        <v>45967</v>
      </c>
      <c r="L167" s="1">
        <v>45973</v>
      </c>
      <c r="M167" t="s">
        <v>96</v>
      </c>
      <c r="N167" t="s">
        <v>26</v>
      </c>
      <c r="O167">
        <v>300145.2</v>
      </c>
      <c r="P167">
        <v>243117.61</v>
      </c>
      <c r="Q167">
        <v>57027.59</v>
      </c>
      <c r="R167" t="s">
        <v>32</v>
      </c>
      <c r="S167">
        <f t="shared" si="6"/>
        <v>6</v>
      </c>
      <c r="T167" s="2">
        <f t="shared" si="7"/>
        <v>0.80999999333655837</v>
      </c>
      <c r="U167" s="2">
        <f t="shared" si="8"/>
        <v>0.19000000666344155</v>
      </c>
    </row>
    <row r="168" spans="1:21" x14ac:dyDescent="0.3">
      <c r="A168">
        <v>10167</v>
      </c>
      <c r="B168" t="s">
        <v>86</v>
      </c>
      <c r="C168" t="s">
        <v>87</v>
      </c>
      <c r="D168" t="s">
        <v>30</v>
      </c>
      <c r="E168">
        <v>23</v>
      </c>
      <c r="F168" t="s">
        <v>31</v>
      </c>
      <c r="G168" t="s">
        <v>60</v>
      </c>
      <c r="H168" t="s">
        <v>61</v>
      </c>
      <c r="I168" t="s">
        <v>62</v>
      </c>
      <c r="J168">
        <v>18</v>
      </c>
      <c r="K168" s="1">
        <v>45898</v>
      </c>
      <c r="L168" s="1">
        <v>45911</v>
      </c>
      <c r="M168" t="s">
        <v>77</v>
      </c>
      <c r="N168" t="s">
        <v>26</v>
      </c>
      <c r="O168">
        <v>91196.17</v>
      </c>
      <c r="P168">
        <v>74780.86</v>
      </c>
      <c r="Q168">
        <v>16415.310000000001</v>
      </c>
      <c r="R168" t="s">
        <v>27</v>
      </c>
      <c r="S168">
        <f t="shared" si="6"/>
        <v>13</v>
      </c>
      <c r="T168" s="2">
        <f t="shared" si="7"/>
        <v>0.82000000657922367</v>
      </c>
      <c r="U168" s="2">
        <f t="shared" si="8"/>
        <v>0.17999999342077636</v>
      </c>
    </row>
    <row r="169" spans="1:21" x14ac:dyDescent="0.3">
      <c r="A169">
        <v>10168</v>
      </c>
      <c r="B169" t="s">
        <v>64</v>
      </c>
      <c r="C169" t="s">
        <v>65</v>
      </c>
      <c r="D169" t="s">
        <v>20</v>
      </c>
      <c r="E169">
        <v>27</v>
      </c>
      <c r="F169" t="s">
        <v>31</v>
      </c>
      <c r="G169" t="s">
        <v>60</v>
      </c>
      <c r="H169" t="s">
        <v>61</v>
      </c>
      <c r="I169" t="s">
        <v>62</v>
      </c>
      <c r="J169">
        <v>18</v>
      </c>
      <c r="K169" s="1">
        <v>45909</v>
      </c>
      <c r="L169" s="1">
        <v>45918</v>
      </c>
      <c r="M169" t="s">
        <v>63</v>
      </c>
      <c r="N169" t="s">
        <v>26</v>
      </c>
      <c r="O169">
        <v>22803.61</v>
      </c>
      <c r="P169">
        <v>16874.669999999998</v>
      </c>
      <c r="Q169">
        <v>5928.94</v>
      </c>
      <c r="R169" t="s">
        <v>32</v>
      </c>
      <c r="S169">
        <f t="shared" si="6"/>
        <v>9</v>
      </c>
      <c r="T169" s="2">
        <f t="shared" si="7"/>
        <v>0.73999993860621183</v>
      </c>
      <c r="U169" s="2">
        <f t="shared" si="8"/>
        <v>0.26000006139378806</v>
      </c>
    </row>
    <row r="170" spans="1:21" x14ac:dyDescent="0.3">
      <c r="A170">
        <v>10169</v>
      </c>
      <c r="B170" t="s">
        <v>129</v>
      </c>
      <c r="C170" t="s">
        <v>130</v>
      </c>
      <c r="D170" t="s">
        <v>30</v>
      </c>
      <c r="E170">
        <v>28</v>
      </c>
      <c r="F170" t="s">
        <v>35</v>
      </c>
      <c r="G170" t="s">
        <v>47</v>
      </c>
      <c r="H170" t="s">
        <v>48</v>
      </c>
      <c r="I170" t="s">
        <v>49</v>
      </c>
      <c r="J170">
        <v>8</v>
      </c>
      <c r="K170" s="1">
        <v>45969</v>
      </c>
      <c r="L170" s="1">
        <v>45973</v>
      </c>
      <c r="M170" t="s">
        <v>50</v>
      </c>
      <c r="N170" t="s">
        <v>26</v>
      </c>
      <c r="O170">
        <v>203651.32</v>
      </c>
      <c r="P170">
        <v>126263.82</v>
      </c>
      <c r="Q170">
        <v>77387.5</v>
      </c>
      <c r="R170" t="s">
        <v>32</v>
      </c>
      <c r="S170">
        <f t="shared" si="6"/>
        <v>4</v>
      </c>
      <c r="T170" s="2">
        <f t="shared" si="7"/>
        <v>0.62000000785656584</v>
      </c>
      <c r="U170" s="2">
        <f t="shared" si="8"/>
        <v>0.37999999214343416</v>
      </c>
    </row>
    <row r="171" spans="1:21" x14ac:dyDescent="0.3">
      <c r="A171">
        <v>10170</v>
      </c>
      <c r="B171" t="s">
        <v>92</v>
      </c>
      <c r="C171" t="s">
        <v>93</v>
      </c>
      <c r="D171" t="s">
        <v>20</v>
      </c>
      <c r="E171">
        <v>40</v>
      </c>
      <c r="F171" t="s">
        <v>54</v>
      </c>
      <c r="G171" t="s">
        <v>70</v>
      </c>
      <c r="H171" t="s">
        <v>71</v>
      </c>
      <c r="I171" t="s">
        <v>43</v>
      </c>
      <c r="J171">
        <v>11</v>
      </c>
      <c r="K171" s="1">
        <v>45862</v>
      </c>
      <c r="L171" s="1">
        <v>45872</v>
      </c>
      <c r="M171" t="s">
        <v>44</v>
      </c>
      <c r="N171" t="s">
        <v>26</v>
      </c>
      <c r="O171">
        <v>31864.58</v>
      </c>
      <c r="P171">
        <v>25491.66</v>
      </c>
      <c r="Q171">
        <v>6372.92</v>
      </c>
      <c r="R171" t="s">
        <v>27</v>
      </c>
      <c r="S171">
        <f t="shared" si="6"/>
        <v>10</v>
      </c>
      <c r="T171" s="2">
        <f t="shared" si="7"/>
        <v>0.79999987446876741</v>
      </c>
      <c r="U171" s="2">
        <f t="shared" si="8"/>
        <v>0.20000012553123248</v>
      </c>
    </row>
    <row r="172" spans="1:21" x14ac:dyDescent="0.3">
      <c r="A172">
        <v>10171</v>
      </c>
      <c r="B172" t="s">
        <v>106</v>
      </c>
      <c r="C172" t="s">
        <v>107</v>
      </c>
      <c r="D172" t="s">
        <v>30</v>
      </c>
      <c r="E172">
        <v>37</v>
      </c>
      <c r="F172" t="s">
        <v>31</v>
      </c>
      <c r="G172" t="s">
        <v>41</v>
      </c>
      <c r="H172" t="s">
        <v>42</v>
      </c>
      <c r="I172" t="s">
        <v>43</v>
      </c>
      <c r="J172">
        <v>9</v>
      </c>
      <c r="K172" s="1">
        <v>45899</v>
      </c>
      <c r="L172" s="1">
        <v>45901</v>
      </c>
      <c r="M172" t="s">
        <v>44</v>
      </c>
      <c r="N172" t="s">
        <v>51</v>
      </c>
      <c r="O172">
        <v>12687.21</v>
      </c>
      <c r="P172">
        <v>10276.64</v>
      </c>
      <c r="Q172">
        <v>2410.5700000000002</v>
      </c>
      <c r="R172" t="s">
        <v>32</v>
      </c>
      <c r="S172">
        <f t="shared" si="6"/>
        <v>2</v>
      </c>
      <c r="T172" s="2">
        <f t="shared" si="7"/>
        <v>0.80999999211804641</v>
      </c>
      <c r="U172" s="2">
        <f t="shared" si="8"/>
        <v>0.19000000788195359</v>
      </c>
    </row>
    <row r="173" spans="1:21" x14ac:dyDescent="0.3">
      <c r="A173">
        <v>10172</v>
      </c>
      <c r="B173" t="s">
        <v>108</v>
      </c>
      <c r="C173" t="s">
        <v>109</v>
      </c>
      <c r="D173" t="s">
        <v>20</v>
      </c>
      <c r="E173">
        <v>34</v>
      </c>
      <c r="F173" t="s">
        <v>40</v>
      </c>
      <c r="G173" t="s">
        <v>88</v>
      </c>
      <c r="H173" t="s">
        <v>89</v>
      </c>
      <c r="I173" t="s">
        <v>62</v>
      </c>
      <c r="J173">
        <v>14</v>
      </c>
      <c r="K173" s="1">
        <v>45983</v>
      </c>
      <c r="L173" s="1">
        <v>45995</v>
      </c>
      <c r="M173" t="s">
        <v>96</v>
      </c>
      <c r="N173" t="s">
        <v>51</v>
      </c>
      <c r="O173">
        <v>144132.87</v>
      </c>
      <c r="P173">
        <v>115306.3</v>
      </c>
      <c r="Q173">
        <v>28826.57</v>
      </c>
      <c r="R173" t="s">
        <v>27</v>
      </c>
      <c r="S173">
        <f t="shared" si="6"/>
        <v>12</v>
      </c>
      <c r="T173" s="2">
        <f t="shared" si="7"/>
        <v>0.80000002775217072</v>
      </c>
      <c r="U173" s="2">
        <f t="shared" si="8"/>
        <v>0.19999997224782939</v>
      </c>
    </row>
    <row r="174" spans="1:21" x14ac:dyDescent="0.3">
      <c r="A174">
        <v>10173</v>
      </c>
      <c r="B174" t="s">
        <v>143</v>
      </c>
      <c r="C174" t="s">
        <v>74</v>
      </c>
      <c r="D174" t="s">
        <v>20</v>
      </c>
      <c r="E174">
        <v>35</v>
      </c>
      <c r="F174" t="s">
        <v>119</v>
      </c>
      <c r="G174" t="s">
        <v>55</v>
      </c>
      <c r="H174" t="s">
        <v>56</v>
      </c>
      <c r="I174" t="s">
        <v>49</v>
      </c>
      <c r="J174">
        <v>10</v>
      </c>
      <c r="K174" s="1">
        <v>45674</v>
      </c>
      <c r="L174" s="1">
        <v>45686</v>
      </c>
      <c r="M174" t="s">
        <v>101</v>
      </c>
      <c r="N174" t="s">
        <v>26</v>
      </c>
      <c r="O174">
        <v>24677.65</v>
      </c>
      <c r="P174">
        <v>19495.34</v>
      </c>
      <c r="Q174">
        <v>5182.3100000000004</v>
      </c>
      <c r="R174" t="s">
        <v>32</v>
      </c>
      <c r="S174">
        <f t="shared" si="6"/>
        <v>12</v>
      </c>
      <c r="T174" s="2">
        <f t="shared" si="7"/>
        <v>0.78999985817126017</v>
      </c>
      <c r="U174" s="2">
        <f t="shared" si="8"/>
        <v>0.21000014182873977</v>
      </c>
    </row>
    <row r="175" spans="1:21" x14ac:dyDescent="0.3">
      <c r="A175">
        <v>10174</v>
      </c>
      <c r="B175" t="s">
        <v>152</v>
      </c>
      <c r="C175" t="s">
        <v>153</v>
      </c>
      <c r="D175" t="s">
        <v>20</v>
      </c>
      <c r="E175">
        <v>27</v>
      </c>
      <c r="F175" t="s">
        <v>59</v>
      </c>
      <c r="G175" t="s">
        <v>55</v>
      </c>
      <c r="H175" t="s">
        <v>56</v>
      </c>
      <c r="I175" t="s">
        <v>49</v>
      </c>
      <c r="J175">
        <v>10</v>
      </c>
      <c r="K175" s="1">
        <v>45908</v>
      </c>
      <c r="L175" s="1">
        <v>45918</v>
      </c>
      <c r="M175" t="s">
        <v>101</v>
      </c>
      <c r="N175" t="s">
        <v>51</v>
      </c>
      <c r="O175">
        <v>41400.910000000003</v>
      </c>
      <c r="P175">
        <v>28152.62</v>
      </c>
      <c r="Q175">
        <v>13248.29</v>
      </c>
      <c r="R175" t="s">
        <v>32</v>
      </c>
      <c r="S175">
        <f t="shared" si="6"/>
        <v>10</v>
      </c>
      <c r="T175" s="2">
        <f t="shared" si="7"/>
        <v>0.68000002898487011</v>
      </c>
      <c r="U175" s="2">
        <f t="shared" si="8"/>
        <v>0.31999997101512984</v>
      </c>
    </row>
    <row r="176" spans="1:21" x14ac:dyDescent="0.3">
      <c r="A176">
        <v>10175</v>
      </c>
      <c r="B176" t="s">
        <v>160</v>
      </c>
      <c r="C176" t="s">
        <v>161</v>
      </c>
      <c r="D176" t="s">
        <v>20</v>
      </c>
      <c r="E176">
        <v>18</v>
      </c>
      <c r="F176" t="s">
        <v>54</v>
      </c>
      <c r="G176" t="s">
        <v>55</v>
      </c>
      <c r="H176" t="s">
        <v>56</v>
      </c>
      <c r="I176" t="s">
        <v>49</v>
      </c>
      <c r="J176">
        <v>10</v>
      </c>
      <c r="K176" s="1">
        <v>45901</v>
      </c>
      <c r="L176" s="1">
        <v>45904</v>
      </c>
      <c r="M176" t="s">
        <v>50</v>
      </c>
      <c r="N176" t="s">
        <v>51</v>
      </c>
      <c r="O176">
        <v>167610.65</v>
      </c>
      <c r="P176">
        <v>134088.51999999999</v>
      </c>
      <c r="Q176">
        <v>33522.129999999997</v>
      </c>
      <c r="R176" t="s">
        <v>27</v>
      </c>
      <c r="S176">
        <f t="shared" si="6"/>
        <v>3</v>
      </c>
      <c r="T176" s="2">
        <f t="shared" si="7"/>
        <v>0.79999999999999993</v>
      </c>
      <c r="U176" s="2">
        <f t="shared" si="8"/>
        <v>0.19999999999999998</v>
      </c>
    </row>
    <row r="177" spans="1:21" x14ac:dyDescent="0.3">
      <c r="A177">
        <v>10176</v>
      </c>
      <c r="B177" t="s">
        <v>78</v>
      </c>
      <c r="C177" t="s">
        <v>79</v>
      </c>
      <c r="D177" t="s">
        <v>20</v>
      </c>
      <c r="E177">
        <v>67</v>
      </c>
      <c r="F177" t="s">
        <v>35</v>
      </c>
      <c r="G177" t="s">
        <v>60</v>
      </c>
      <c r="H177" t="s">
        <v>61</v>
      </c>
      <c r="I177" t="s">
        <v>62</v>
      </c>
      <c r="J177">
        <v>18</v>
      </c>
      <c r="K177" s="1">
        <v>45773</v>
      </c>
      <c r="L177" s="1">
        <v>45780</v>
      </c>
      <c r="M177" t="s">
        <v>77</v>
      </c>
      <c r="N177" t="s">
        <v>26</v>
      </c>
      <c r="O177">
        <v>56077</v>
      </c>
      <c r="P177">
        <v>43740.06</v>
      </c>
      <c r="Q177">
        <v>12336.94</v>
      </c>
      <c r="R177" t="s">
        <v>32</v>
      </c>
      <c r="S177">
        <f t="shared" si="6"/>
        <v>7</v>
      </c>
      <c r="T177" s="2">
        <f t="shared" si="7"/>
        <v>0.77999999999999992</v>
      </c>
      <c r="U177" s="2">
        <f t="shared" si="8"/>
        <v>0.22</v>
      </c>
    </row>
    <row r="178" spans="1:21" x14ac:dyDescent="0.3">
      <c r="A178">
        <v>10177</v>
      </c>
      <c r="B178" t="s">
        <v>108</v>
      </c>
      <c r="C178" t="s">
        <v>109</v>
      </c>
      <c r="D178" t="s">
        <v>20</v>
      </c>
      <c r="E178">
        <v>34</v>
      </c>
      <c r="F178" t="s">
        <v>40</v>
      </c>
      <c r="G178" t="s">
        <v>36</v>
      </c>
      <c r="H178" t="s">
        <v>37</v>
      </c>
      <c r="I178" t="s">
        <v>24</v>
      </c>
      <c r="J178">
        <v>12</v>
      </c>
      <c r="K178" s="1">
        <v>45683</v>
      </c>
      <c r="L178" s="1">
        <v>45695</v>
      </c>
      <c r="M178" t="s">
        <v>25</v>
      </c>
      <c r="N178" t="s">
        <v>26</v>
      </c>
      <c r="O178">
        <v>150916.72</v>
      </c>
      <c r="P178">
        <v>125260.88</v>
      </c>
      <c r="Q178">
        <v>25655.84</v>
      </c>
      <c r="R178" t="s">
        <v>32</v>
      </c>
      <c r="S178">
        <f t="shared" si="6"/>
        <v>12</v>
      </c>
      <c r="T178" s="2">
        <f t="shared" si="7"/>
        <v>0.83000001590281047</v>
      </c>
      <c r="U178" s="2">
        <f t="shared" si="8"/>
        <v>0.1699999840971895</v>
      </c>
    </row>
    <row r="179" spans="1:21" x14ac:dyDescent="0.3">
      <c r="A179">
        <v>10178</v>
      </c>
      <c r="B179" t="s">
        <v>80</v>
      </c>
      <c r="C179" t="s">
        <v>81</v>
      </c>
      <c r="D179" t="s">
        <v>20</v>
      </c>
      <c r="E179">
        <v>65</v>
      </c>
      <c r="F179" t="s">
        <v>40</v>
      </c>
      <c r="G179" t="s">
        <v>22</v>
      </c>
      <c r="H179" t="s">
        <v>23</v>
      </c>
      <c r="I179" t="s">
        <v>24</v>
      </c>
      <c r="J179">
        <v>15</v>
      </c>
      <c r="K179" s="1">
        <v>45866</v>
      </c>
      <c r="L179" s="1">
        <v>45868</v>
      </c>
      <c r="M179" t="s">
        <v>66</v>
      </c>
      <c r="N179" t="s">
        <v>51</v>
      </c>
      <c r="O179">
        <v>73901.289999999994</v>
      </c>
      <c r="P179">
        <v>62077.08</v>
      </c>
      <c r="Q179">
        <v>11824.21</v>
      </c>
      <c r="R179" t="s">
        <v>27</v>
      </c>
      <c r="S179">
        <f t="shared" si="6"/>
        <v>2</v>
      </c>
      <c r="T179" s="2">
        <f t="shared" si="7"/>
        <v>0.83999995128637139</v>
      </c>
      <c r="U179" s="2">
        <f t="shared" si="8"/>
        <v>0.16000004871362869</v>
      </c>
    </row>
    <row r="180" spans="1:21" x14ac:dyDescent="0.3">
      <c r="A180">
        <v>10179</v>
      </c>
      <c r="B180" t="s">
        <v>150</v>
      </c>
      <c r="C180" t="s">
        <v>151</v>
      </c>
      <c r="D180" t="s">
        <v>30</v>
      </c>
      <c r="E180">
        <v>47</v>
      </c>
      <c r="F180" t="s">
        <v>54</v>
      </c>
      <c r="G180" t="s">
        <v>47</v>
      </c>
      <c r="H180" t="s">
        <v>48</v>
      </c>
      <c r="I180" t="s">
        <v>49</v>
      </c>
      <c r="J180">
        <v>8</v>
      </c>
      <c r="K180" s="1">
        <v>45851</v>
      </c>
      <c r="L180" s="1">
        <v>45854</v>
      </c>
      <c r="M180" t="s">
        <v>101</v>
      </c>
      <c r="N180" t="s">
        <v>51</v>
      </c>
      <c r="O180">
        <v>48570.2</v>
      </c>
      <c r="P180">
        <v>33999.14</v>
      </c>
      <c r="Q180">
        <v>14571.06</v>
      </c>
      <c r="R180" t="s">
        <v>27</v>
      </c>
      <c r="S180">
        <f t="shared" si="6"/>
        <v>3</v>
      </c>
      <c r="T180" s="2">
        <f t="shared" si="7"/>
        <v>0.70000000000000007</v>
      </c>
      <c r="U180" s="2">
        <f t="shared" si="8"/>
        <v>0.3</v>
      </c>
    </row>
    <row r="181" spans="1:21" x14ac:dyDescent="0.3">
      <c r="A181">
        <v>10180</v>
      </c>
      <c r="B181" t="s">
        <v>148</v>
      </c>
      <c r="C181" t="s">
        <v>149</v>
      </c>
      <c r="D181" t="s">
        <v>30</v>
      </c>
      <c r="E181">
        <v>19</v>
      </c>
      <c r="F181" t="s">
        <v>21</v>
      </c>
      <c r="G181" t="s">
        <v>41</v>
      </c>
      <c r="H181" t="s">
        <v>42</v>
      </c>
      <c r="I181" t="s">
        <v>43</v>
      </c>
      <c r="J181">
        <v>9</v>
      </c>
      <c r="K181" s="1">
        <v>45929</v>
      </c>
      <c r="L181" s="1">
        <v>45933</v>
      </c>
      <c r="M181" t="s">
        <v>44</v>
      </c>
      <c r="N181" t="s">
        <v>26</v>
      </c>
      <c r="O181">
        <v>15766.6</v>
      </c>
      <c r="P181">
        <v>10405.959999999999</v>
      </c>
      <c r="Q181">
        <v>5360.64</v>
      </c>
      <c r="R181" t="s">
        <v>32</v>
      </c>
      <c r="S181">
        <f t="shared" si="6"/>
        <v>4</v>
      </c>
      <c r="T181" s="2">
        <f t="shared" si="7"/>
        <v>0.66000025370086124</v>
      </c>
      <c r="U181" s="2">
        <f t="shared" si="8"/>
        <v>0.33999974629913871</v>
      </c>
    </row>
    <row r="182" spans="1:21" x14ac:dyDescent="0.3">
      <c r="A182">
        <v>10181</v>
      </c>
      <c r="B182" t="s">
        <v>38</v>
      </c>
      <c r="C182" t="s">
        <v>39</v>
      </c>
      <c r="D182" t="s">
        <v>30</v>
      </c>
      <c r="E182">
        <v>62</v>
      </c>
      <c r="F182" t="s">
        <v>40</v>
      </c>
      <c r="G182" t="s">
        <v>36</v>
      </c>
      <c r="H182" t="s">
        <v>37</v>
      </c>
      <c r="I182" t="s">
        <v>24</v>
      </c>
      <c r="J182">
        <v>12</v>
      </c>
      <c r="K182" s="1">
        <v>45795</v>
      </c>
      <c r="L182" s="1">
        <v>45797</v>
      </c>
      <c r="M182" t="s">
        <v>76</v>
      </c>
      <c r="N182" t="s">
        <v>26</v>
      </c>
      <c r="O182">
        <v>440107.71</v>
      </c>
      <c r="P182">
        <v>356487.25</v>
      </c>
      <c r="Q182">
        <v>83620.460000000006</v>
      </c>
      <c r="R182" t="s">
        <v>32</v>
      </c>
      <c r="S182">
        <f t="shared" si="6"/>
        <v>2</v>
      </c>
      <c r="T182" s="2">
        <f t="shared" si="7"/>
        <v>0.81000001113363818</v>
      </c>
      <c r="U182" s="2">
        <f t="shared" si="8"/>
        <v>0.18999998886636182</v>
      </c>
    </row>
    <row r="183" spans="1:21" x14ac:dyDescent="0.3">
      <c r="A183">
        <v>10182</v>
      </c>
      <c r="B183" t="s">
        <v>160</v>
      </c>
      <c r="C183" t="s">
        <v>161</v>
      </c>
      <c r="D183" t="s">
        <v>20</v>
      </c>
      <c r="E183">
        <v>18</v>
      </c>
      <c r="F183" t="s">
        <v>54</v>
      </c>
      <c r="G183" t="s">
        <v>22</v>
      </c>
      <c r="H183" t="s">
        <v>23</v>
      </c>
      <c r="I183" t="s">
        <v>24</v>
      </c>
      <c r="J183">
        <v>15</v>
      </c>
      <c r="K183" s="1">
        <v>45670</v>
      </c>
      <c r="L183" s="1">
        <v>45675</v>
      </c>
      <c r="M183" t="s">
        <v>76</v>
      </c>
      <c r="N183" t="s">
        <v>26</v>
      </c>
      <c r="O183">
        <v>205149.22</v>
      </c>
      <c r="P183">
        <v>133346.99</v>
      </c>
      <c r="Q183">
        <v>71802.23</v>
      </c>
      <c r="R183" t="s">
        <v>27</v>
      </c>
      <c r="S183">
        <f t="shared" si="6"/>
        <v>5</v>
      </c>
      <c r="T183" s="2">
        <f t="shared" si="7"/>
        <v>0.64999998537649806</v>
      </c>
      <c r="U183" s="2">
        <f t="shared" si="8"/>
        <v>0.35000001462350183</v>
      </c>
    </row>
    <row r="184" spans="1:21" x14ac:dyDescent="0.3">
      <c r="A184">
        <v>10183</v>
      </c>
      <c r="B184" t="s">
        <v>67</v>
      </c>
      <c r="C184" t="s">
        <v>68</v>
      </c>
      <c r="D184" t="s">
        <v>20</v>
      </c>
      <c r="E184">
        <v>33</v>
      </c>
      <c r="F184" t="s">
        <v>69</v>
      </c>
      <c r="G184" t="s">
        <v>36</v>
      </c>
      <c r="H184" t="s">
        <v>37</v>
      </c>
      <c r="I184" t="s">
        <v>24</v>
      </c>
      <c r="J184">
        <v>12</v>
      </c>
      <c r="K184" s="1">
        <v>45851</v>
      </c>
      <c r="L184" s="1">
        <v>45854</v>
      </c>
      <c r="M184" t="s">
        <v>25</v>
      </c>
      <c r="N184" t="s">
        <v>26</v>
      </c>
      <c r="O184">
        <v>85631.64</v>
      </c>
      <c r="P184">
        <v>68505.31</v>
      </c>
      <c r="Q184">
        <v>17126.330000000002</v>
      </c>
      <c r="R184" t="s">
        <v>32</v>
      </c>
      <c r="S184">
        <f t="shared" si="6"/>
        <v>3</v>
      </c>
      <c r="T184" s="2">
        <f t="shared" si="7"/>
        <v>0.7999999766441469</v>
      </c>
      <c r="U184" s="2">
        <f t="shared" si="8"/>
        <v>0.20000002335585307</v>
      </c>
    </row>
    <row r="185" spans="1:21" x14ac:dyDescent="0.3">
      <c r="A185">
        <v>10184</v>
      </c>
      <c r="B185" t="s">
        <v>152</v>
      </c>
      <c r="C185" t="s">
        <v>153</v>
      </c>
      <c r="D185" t="s">
        <v>20</v>
      </c>
      <c r="E185">
        <v>27</v>
      </c>
      <c r="F185" t="s">
        <v>59</v>
      </c>
      <c r="G185" t="s">
        <v>47</v>
      </c>
      <c r="H185" t="s">
        <v>48</v>
      </c>
      <c r="I185" t="s">
        <v>49</v>
      </c>
      <c r="J185">
        <v>8</v>
      </c>
      <c r="K185" s="1">
        <v>45965</v>
      </c>
      <c r="L185" s="1">
        <v>45974</v>
      </c>
      <c r="M185" t="s">
        <v>101</v>
      </c>
      <c r="N185" t="s">
        <v>26</v>
      </c>
      <c r="O185">
        <v>34017.22</v>
      </c>
      <c r="P185">
        <v>22791.54</v>
      </c>
      <c r="Q185">
        <v>11225.68</v>
      </c>
      <c r="R185" t="s">
        <v>32</v>
      </c>
      <c r="S185">
        <f t="shared" si="6"/>
        <v>9</v>
      </c>
      <c r="T185" s="2">
        <f t="shared" si="7"/>
        <v>0.67000007643187776</v>
      </c>
      <c r="U185" s="2">
        <f t="shared" si="8"/>
        <v>0.32999992356812224</v>
      </c>
    </row>
    <row r="186" spans="1:21" x14ac:dyDescent="0.3">
      <c r="A186">
        <v>10185</v>
      </c>
      <c r="B186" t="s">
        <v>67</v>
      </c>
      <c r="C186" t="s">
        <v>68</v>
      </c>
      <c r="D186" t="s">
        <v>20</v>
      </c>
      <c r="E186">
        <v>33</v>
      </c>
      <c r="F186" t="s">
        <v>69</v>
      </c>
      <c r="G186" t="s">
        <v>88</v>
      </c>
      <c r="H186" t="s">
        <v>89</v>
      </c>
      <c r="I186" t="s">
        <v>62</v>
      </c>
      <c r="J186">
        <v>14</v>
      </c>
      <c r="K186" s="1">
        <v>46008</v>
      </c>
      <c r="L186" s="1">
        <v>46015</v>
      </c>
      <c r="M186" t="s">
        <v>96</v>
      </c>
      <c r="N186" t="s">
        <v>26</v>
      </c>
      <c r="O186">
        <v>226755.6</v>
      </c>
      <c r="P186">
        <v>158728.92000000001</v>
      </c>
      <c r="Q186">
        <v>68026.679999999993</v>
      </c>
      <c r="R186" t="s">
        <v>27</v>
      </c>
      <c r="S186">
        <f t="shared" si="6"/>
        <v>7</v>
      </c>
      <c r="T186" s="2">
        <f t="shared" si="7"/>
        <v>0.70000000000000007</v>
      </c>
      <c r="U186" s="2">
        <f t="shared" si="8"/>
        <v>0.3</v>
      </c>
    </row>
    <row r="187" spans="1:21" x14ac:dyDescent="0.3">
      <c r="A187">
        <v>10186</v>
      </c>
      <c r="B187" t="s">
        <v>143</v>
      </c>
      <c r="C187" t="s">
        <v>74</v>
      </c>
      <c r="D187" t="s">
        <v>20</v>
      </c>
      <c r="E187">
        <v>35</v>
      </c>
      <c r="F187" t="s">
        <v>119</v>
      </c>
      <c r="G187" t="s">
        <v>88</v>
      </c>
      <c r="H187" t="s">
        <v>89</v>
      </c>
      <c r="I187" t="s">
        <v>62</v>
      </c>
      <c r="J187">
        <v>14</v>
      </c>
      <c r="K187" s="1">
        <v>45715</v>
      </c>
      <c r="L187" s="1">
        <v>45718</v>
      </c>
      <c r="M187" t="s">
        <v>77</v>
      </c>
      <c r="N187" t="s">
        <v>26</v>
      </c>
      <c r="O187">
        <v>45540.79</v>
      </c>
      <c r="P187">
        <v>36432.629999999997</v>
      </c>
      <c r="Q187">
        <v>9108.16</v>
      </c>
      <c r="R187" t="s">
        <v>32</v>
      </c>
      <c r="S187">
        <f t="shared" si="6"/>
        <v>3</v>
      </c>
      <c r="T187" s="2">
        <f t="shared" si="7"/>
        <v>0.79999995608332652</v>
      </c>
      <c r="U187" s="2">
        <f t="shared" si="8"/>
        <v>0.20000004391667336</v>
      </c>
    </row>
    <row r="188" spans="1:21" x14ac:dyDescent="0.3">
      <c r="A188">
        <v>10187</v>
      </c>
      <c r="B188" t="s">
        <v>120</v>
      </c>
      <c r="C188" t="s">
        <v>74</v>
      </c>
      <c r="D188" t="s">
        <v>20</v>
      </c>
      <c r="E188">
        <v>61</v>
      </c>
      <c r="F188" t="s">
        <v>69</v>
      </c>
      <c r="G188" t="s">
        <v>22</v>
      </c>
      <c r="H188" t="s">
        <v>23</v>
      </c>
      <c r="I188" t="s">
        <v>24</v>
      </c>
      <c r="J188">
        <v>15</v>
      </c>
      <c r="K188" s="1">
        <v>45854</v>
      </c>
      <c r="L188" s="1">
        <v>45858</v>
      </c>
      <c r="M188" t="s">
        <v>76</v>
      </c>
      <c r="N188" t="s">
        <v>26</v>
      </c>
      <c r="O188">
        <v>362217.46</v>
      </c>
      <c r="P188">
        <v>300640.49</v>
      </c>
      <c r="Q188">
        <v>61576.97</v>
      </c>
      <c r="R188" t="s">
        <v>32</v>
      </c>
      <c r="S188">
        <f t="shared" si="6"/>
        <v>4</v>
      </c>
      <c r="T188" s="2">
        <f t="shared" si="7"/>
        <v>0.82999999503060939</v>
      </c>
      <c r="U188" s="2">
        <f t="shared" si="8"/>
        <v>0.17000000496939047</v>
      </c>
    </row>
    <row r="189" spans="1:21" x14ac:dyDescent="0.3">
      <c r="A189">
        <v>10188</v>
      </c>
      <c r="B189" t="s">
        <v>120</v>
      </c>
      <c r="C189" t="s">
        <v>74</v>
      </c>
      <c r="D189" t="s">
        <v>20</v>
      </c>
      <c r="E189">
        <v>61</v>
      </c>
      <c r="F189" t="s">
        <v>69</v>
      </c>
      <c r="G189" t="s">
        <v>41</v>
      </c>
      <c r="H189" t="s">
        <v>42</v>
      </c>
      <c r="I189" t="s">
        <v>43</v>
      </c>
      <c r="J189">
        <v>9</v>
      </c>
      <c r="K189" s="1">
        <v>45968</v>
      </c>
      <c r="L189" s="1">
        <v>45981</v>
      </c>
      <c r="M189" t="s">
        <v>44</v>
      </c>
      <c r="N189" t="s">
        <v>26</v>
      </c>
      <c r="O189">
        <v>21394.55</v>
      </c>
      <c r="P189">
        <v>14120.4</v>
      </c>
      <c r="Q189">
        <v>7274.15</v>
      </c>
      <c r="R189" t="s">
        <v>32</v>
      </c>
      <c r="S189">
        <f t="shared" si="6"/>
        <v>13</v>
      </c>
      <c r="T189" s="2">
        <f t="shared" si="7"/>
        <v>0.65999985977737319</v>
      </c>
      <c r="U189" s="2">
        <f t="shared" si="8"/>
        <v>0.34000014022262681</v>
      </c>
    </row>
    <row r="190" spans="1:21" x14ac:dyDescent="0.3">
      <c r="A190">
        <v>10189</v>
      </c>
      <c r="B190" t="s">
        <v>80</v>
      </c>
      <c r="C190" t="s">
        <v>81</v>
      </c>
      <c r="D190" t="s">
        <v>20</v>
      </c>
      <c r="E190">
        <v>65</v>
      </c>
      <c r="F190" t="s">
        <v>40</v>
      </c>
      <c r="G190" t="s">
        <v>70</v>
      </c>
      <c r="H190" t="s">
        <v>71</v>
      </c>
      <c r="I190" t="s">
        <v>43</v>
      </c>
      <c r="J190">
        <v>11</v>
      </c>
      <c r="K190" s="1">
        <v>45781</v>
      </c>
      <c r="L190" s="1">
        <v>45788</v>
      </c>
      <c r="M190" t="s">
        <v>44</v>
      </c>
      <c r="N190" t="s">
        <v>26</v>
      </c>
      <c r="O190">
        <v>13264.89</v>
      </c>
      <c r="P190">
        <v>9550.7199999999993</v>
      </c>
      <c r="Q190">
        <v>3714.17</v>
      </c>
      <c r="R190" t="s">
        <v>32</v>
      </c>
      <c r="S190">
        <f t="shared" si="6"/>
        <v>7</v>
      </c>
      <c r="T190" s="2">
        <f t="shared" si="7"/>
        <v>0.71999993969041576</v>
      </c>
      <c r="U190" s="2">
        <f t="shared" si="8"/>
        <v>0.28000006030958419</v>
      </c>
    </row>
    <row r="191" spans="1:21" x14ac:dyDescent="0.3">
      <c r="A191">
        <v>10190</v>
      </c>
      <c r="B191" t="s">
        <v>150</v>
      </c>
      <c r="C191" t="s">
        <v>151</v>
      </c>
      <c r="D191" t="s">
        <v>30</v>
      </c>
      <c r="E191">
        <v>47</v>
      </c>
      <c r="F191" t="s">
        <v>54</v>
      </c>
      <c r="G191" t="s">
        <v>36</v>
      </c>
      <c r="H191" t="s">
        <v>37</v>
      </c>
      <c r="I191" t="s">
        <v>24</v>
      </c>
      <c r="J191">
        <v>12</v>
      </c>
      <c r="K191" s="1">
        <v>45920</v>
      </c>
      <c r="L191" s="1">
        <v>45923</v>
      </c>
      <c r="M191" t="s">
        <v>25</v>
      </c>
      <c r="N191" t="s">
        <v>26</v>
      </c>
      <c r="O191">
        <v>189506.81</v>
      </c>
      <c r="P191">
        <v>155395.57999999999</v>
      </c>
      <c r="Q191">
        <v>34111.230000000003</v>
      </c>
      <c r="R191" t="s">
        <v>27</v>
      </c>
      <c r="S191">
        <f t="shared" si="6"/>
        <v>3</v>
      </c>
      <c r="T191" s="2">
        <f t="shared" si="7"/>
        <v>0.81999997783720802</v>
      </c>
      <c r="U191" s="2">
        <f t="shared" si="8"/>
        <v>0.18000002216279196</v>
      </c>
    </row>
    <row r="192" spans="1:21" x14ac:dyDescent="0.3">
      <c r="A192">
        <v>10191</v>
      </c>
      <c r="B192" t="s">
        <v>144</v>
      </c>
      <c r="C192" t="s">
        <v>145</v>
      </c>
      <c r="D192" t="s">
        <v>30</v>
      </c>
      <c r="E192">
        <v>37</v>
      </c>
      <c r="F192" t="s">
        <v>40</v>
      </c>
      <c r="G192" t="s">
        <v>41</v>
      </c>
      <c r="H192" t="s">
        <v>42</v>
      </c>
      <c r="I192" t="s">
        <v>43</v>
      </c>
      <c r="J192">
        <v>9</v>
      </c>
      <c r="K192" s="1">
        <v>45760</v>
      </c>
      <c r="L192" s="1">
        <v>45765</v>
      </c>
      <c r="M192" t="s">
        <v>112</v>
      </c>
      <c r="N192" t="s">
        <v>51</v>
      </c>
      <c r="O192">
        <v>55766.39</v>
      </c>
      <c r="P192">
        <v>46286.1</v>
      </c>
      <c r="Q192">
        <v>9480.2900000000009</v>
      </c>
      <c r="R192" t="s">
        <v>32</v>
      </c>
      <c r="S192">
        <f t="shared" si="6"/>
        <v>5</v>
      </c>
      <c r="T192" s="2">
        <f t="shared" si="7"/>
        <v>0.82999993365179281</v>
      </c>
      <c r="U192" s="2">
        <f t="shared" si="8"/>
        <v>0.17000006634820725</v>
      </c>
    </row>
    <row r="193" spans="1:21" x14ac:dyDescent="0.3">
      <c r="A193">
        <v>10192</v>
      </c>
      <c r="B193" t="s">
        <v>148</v>
      </c>
      <c r="C193" t="s">
        <v>149</v>
      </c>
      <c r="D193" t="s">
        <v>30</v>
      </c>
      <c r="E193">
        <v>19</v>
      </c>
      <c r="F193" t="s">
        <v>21</v>
      </c>
      <c r="G193" t="s">
        <v>88</v>
      </c>
      <c r="H193" t="s">
        <v>89</v>
      </c>
      <c r="I193" t="s">
        <v>62</v>
      </c>
      <c r="J193">
        <v>14</v>
      </c>
      <c r="K193" s="1">
        <v>45903</v>
      </c>
      <c r="L193" s="1">
        <v>45905</v>
      </c>
      <c r="M193" t="s">
        <v>96</v>
      </c>
      <c r="N193" t="s">
        <v>26</v>
      </c>
      <c r="O193">
        <v>283644.37</v>
      </c>
      <c r="P193">
        <v>195714.62</v>
      </c>
      <c r="Q193">
        <v>87929.75</v>
      </c>
      <c r="R193" t="s">
        <v>32</v>
      </c>
      <c r="S193">
        <f t="shared" si="6"/>
        <v>2</v>
      </c>
      <c r="T193" s="2">
        <f t="shared" si="7"/>
        <v>0.69000001657004506</v>
      </c>
      <c r="U193" s="2">
        <f t="shared" si="8"/>
        <v>0.30999998342995494</v>
      </c>
    </row>
    <row r="194" spans="1:21" x14ac:dyDescent="0.3">
      <c r="A194">
        <v>10193</v>
      </c>
      <c r="B194" t="s">
        <v>162</v>
      </c>
      <c r="C194" t="s">
        <v>91</v>
      </c>
      <c r="D194" t="s">
        <v>30</v>
      </c>
      <c r="E194">
        <v>39</v>
      </c>
      <c r="F194" t="s">
        <v>119</v>
      </c>
      <c r="G194" t="s">
        <v>60</v>
      </c>
      <c r="H194" t="s">
        <v>61</v>
      </c>
      <c r="I194" t="s">
        <v>62</v>
      </c>
      <c r="J194">
        <v>18</v>
      </c>
      <c r="K194" s="1">
        <v>45986</v>
      </c>
      <c r="L194" s="1">
        <v>46000</v>
      </c>
      <c r="M194" t="s">
        <v>96</v>
      </c>
      <c r="N194" t="s">
        <v>26</v>
      </c>
      <c r="O194">
        <v>316629.71999999997</v>
      </c>
      <c r="P194">
        <v>231139.7</v>
      </c>
      <c r="Q194">
        <v>85490.02</v>
      </c>
      <c r="R194" t="s">
        <v>32</v>
      </c>
      <c r="S194">
        <f t="shared" si="6"/>
        <v>14</v>
      </c>
      <c r="T194" s="2">
        <f t="shared" si="7"/>
        <v>0.73000001389635827</v>
      </c>
      <c r="U194" s="2">
        <f t="shared" si="8"/>
        <v>0.26999998610364184</v>
      </c>
    </row>
    <row r="195" spans="1:21" x14ac:dyDescent="0.3">
      <c r="A195">
        <v>10194</v>
      </c>
      <c r="B195" t="s">
        <v>92</v>
      </c>
      <c r="C195" t="s">
        <v>93</v>
      </c>
      <c r="D195" t="s">
        <v>20</v>
      </c>
      <c r="E195">
        <v>40</v>
      </c>
      <c r="F195" t="s">
        <v>54</v>
      </c>
      <c r="G195" t="s">
        <v>41</v>
      </c>
      <c r="H195" t="s">
        <v>42</v>
      </c>
      <c r="I195" t="s">
        <v>43</v>
      </c>
      <c r="J195">
        <v>9</v>
      </c>
      <c r="K195" s="1">
        <v>45780</v>
      </c>
      <c r="L195" s="1">
        <v>45790</v>
      </c>
      <c r="M195" t="s">
        <v>112</v>
      </c>
      <c r="N195" t="s">
        <v>26</v>
      </c>
      <c r="O195">
        <v>67097.490000000005</v>
      </c>
      <c r="P195">
        <v>41600.44</v>
      </c>
      <c r="Q195">
        <v>25497.05</v>
      </c>
      <c r="R195" t="s">
        <v>32</v>
      </c>
      <c r="S195">
        <f t="shared" ref="S195:S258" si="9">L195-K195</f>
        <v>10</v>
      </c>
      <c r="T195" s="2">
        <f t="shared" ref="T195:T258" si="10">P195/O195</f>
        <v>0.61999994336598874</v>
      </c>
      <c r="U195" s="2">
        <f t="shared" ref="U195:U258" si="11">Q195/O195</f>
        <v>0.38000005663401115</v>
      </c>
    </row>
    <row r="196" spans="1:21" x14ac:dyDescent="0.3">
      <c r="A196">
        <v>10195</v>
      </c>
      <c r="B196" t="s">
        <v>162</v>
      </c>
      <c r="C196" t="s">
        <v>91</v>
      </c>
      <c r="D196" t="s">
        <v>30</v>
      </c>
      <c r="E196">
        <v>39</v>
      </c>
      <c r="F196" t="s">
        <v>119</v>
      </c>
      <c r="G196" t="s">
        <v>47</v>
      </c>
      <c r="H196" t="s">
        <v>48</v>
      </c>
      <c r="I196" t="s">
        <v>49</v>
      </c>
      <c r="J196">
        <v>8</v>
      </c>
      <c r="K196" s="1">
        <v>45976</v>
      </c>
      <c r="L196" s="1">
        <v>45983</v>
      </c>
      <c r="M196" t="s">
        <v>85</v>
      </c>
      <c r="N196" t="s">
        <v>26</v>
      </c>
      <c r="O196">
        <v>62245.99</v>
      </c>
      <c r="P196">
        <v>52286.63</v>
      </c>
      <c r="Q196">
        <v>9959.36</v>
      </c>
      <c r="R196" t="s">
        <v>27</v>
      </c>
      <c r="S196">
        <f t="shared" si="9"/>
        <v>7</v>
      </c>
      <c r="T196" s="2">
        <f t="shared" si="10"/>
        <v>0.83999997429553297</v>
      </c>
      <c r="U196" s="2">
        <f t="shared" si="11"/>
        <v>0.16000002570446709</v>
      </c>
    </row>
    <row r="197" spans="1:21" x14ac:dyDescent="0.3">
      <c r="A197">
        <v>10196</v>
      </c>
      <c r="B197" t="s">
        <v>64</v>
      </c>
      <c r="C197" t="s">
        <v>65</v>
      </c>
      <c r="D197" t="s">
        <v>20</v>
      </c>
      <c r="E197">
        <v>27</v>
      </c>
      <c r="F197" t="s">
        <v>31</v>
      </c>
      <c r="G197" t="s">
        <v>47</v>
      </c>
      <c r="H197" t="s">
        <v>48</v>
      </c>
      <c r="I197" t="s">
        <v>49</v>
      </c>
      <c r="J197">
        <v>8</v>
      </c>
      <c r="K197" s="1">
        <v>45880</v>
      </c>
      <c r="L197" s="1">
        <v>45885</v>
      </c>
      <c r="M197" t="s">
        <v>85</v>
      </c>
      <c r="N197" t="s">
        <v>26</v>
      </c>
      <c r="O197">
        <v>52986.63</v>
      </c>
      <c r="P197">
        <v>32321.84</v>
      </c>
      <c r="Q197">
        <v>20664.79</v>
      </c>
      <c r="R197" t="s">
        <v>32</v>
      </c>
      <c r="S197">
        <f t="shared" si="9"/>
        <v>5</v>
      </c>
      <c r="T197" s="2">
        <f t="shared" si="10"/>
        <v>0.60999991884745264</v>
      </c>
      <c r="U197" s="2">
        <f t="shared" si="11"/>
        <v>0.39000008115254736</v>
      </c>
    </row>
    <row r="198" spans="1:21" x14ac:dyDescent="0.3">
      <c r="A198">
        <v>10197</v>
      </c>
      <c r="B198" t="s">
        <v>117</v>
      </c>
      <c r="C198" t="s">
        <v>118</v>
      </c>
      <c r="D198" t="s">
        <v>20</v>
      </c>
      <c r="E198">
        <v>65</v>
      </c>
      <c r="F198" t="s">
        <v>119</v>
      </c>
      <c r="G198" t="s">
        <v>55</v>
      </c>
      <c r="H198" t="s">
        <v>56</v>
      </c>
      <c r="I198" t="s">
        <v>49</v>
      </c>
      <c r="J198">
        <v>10</v>
      </c>
      <c r="K198" s="1">
        <v>45722</v>
      </c>
      <c r="L198" s="1">
        <v>45734</v>
      </c>
      <c r="M198" t="s">
        <v>50</v>
      </c>
      <c r="N198" t="s">
        <v>26</v>
      </c>
      <c r="O198">
        <v>250276.34</v>
      </c>
      <c r="P198">
        <v>152668.57</v>
      </c>
      <c r="Q198">
        <v>97607.77</v>
      </c>
      <c r="R198" t="s">
        <v>32</v>
      </c>
      <c r="S198">
        <f t="shared" si="9"/>
        <v>12</v>
      </c>
      <c r="T198" s="2">
        <f t="shared" si="10"/>
        <v>0.61000001038851703</v>
      </c>
      <c r="U198" s="2">
        <f t="shared" si="11"/>
        <v>0.38999998961148308</v>
      </c>
    </row>
    <row r="199" spans="1:21" x14ac:dyDescent="0.3">
      <c r="A199">
        <v>10198</v>
      </c>
      <c r="B199" t="s">
        <v>113</v>
      </c>
      <c r="C199" t="s">
        <v>114</v>
      </c>
      <c r="D199" t="s">
        <v>30</v>
      </c>
      <c r="E199">
        <v>33</v>
      </c>
      <c r="F199" t="s">
        <v>59</v>
      </c>
      <c r="G199" t="s">
        <v>88</v>
      </c>
      <c r="H199" t="s">
        <v>89</v>
      </c>
      <c r="I199" t="s">
        <v>62</v>
      </c>
      <c r="J199">
        <v>14</v>
      </c>
      <c r="K199" s="1">
        <v>45978</v>
      </c>
      <c r="L199" s="1">
        <v>45980</v>
      </c>
      <c r="M199" t="s">
        <v>63</v>
      </c>
      <c r="N199" t="s">
        <v>51</v>
      </c>
      <c r="O199">
        <v>34755.43</v>
      </c>
      <c r="P199">
        <v>28151.9</v>
      </c>
      <c r="Q199">
        <v>6603.53</v>
      </c>
      <c r="R199" t="s">
        <v>32</v>
      </c>
      <c r="S199">
        <f t="shared" si="9"/>
        <v>2</v>
      </c>
      <c r="T199" s="2">
        <f t="shared" si="10"/>
        <v>0.81000004891322019</v>
      </c>
      <c r="U199" s="2">
        <f t="shared" si="11"/>
        <v>0.18999995108677981</v>
      </c>
    </row>
    <row r="200" spans="1:21" x14ac:dyDescent="0.3">
      <c r="A200">
        <v>10199</v>
      </c>
      <c r="B200" t="s">
        <v>133</v>
      </c>
      <c r="C200" t="s">
        <v>134</v>
      </c>
      <c r="D200" t="s">
        <v>20</v>
      </c>
      <c r="E200">
        <v>56</v>
      </c>
      <c r="F200" t="s">
        <v>40</v>
      </c>
      <c r="G200" t="s">
        <v>22</v>
      </c>
      <c r="H200" t="s">
        <v>23</v>
      </c>
      <c r="I200" t="s">
        <v>24</v>
      </c>
      <c r="J200">
        <v>15</v>
      </c>
      <c r="K200" s="1">
        <v>45714</v>
      </c>
      <c r="L200" s="1">
        <v>45725</v>
      </c>
      <c r="M200" t="s">
        <v>25</v>
      </c>
      <c r="N200" t="s">
        <v>26</v>
      </c>
      <c r="O200">
        <v>97877.74</v>
      </c>
      <c r="P200">
        <v>80259.75</v>
      </c>
      <c r="Q200">
        <v>17617.990000000002</v>
      </c>
      <c r="R200" t="s">
        <v>32</v>
      </c>
      <c r="S200">
        <f t="shared" si="9"/>
        <v>11</v>
      </c>
      <c r="T200" s="2">
        <f t="shared" si="10"/>
        <v>0.82000003269384847</v>
      </c>
      <c r="U200" s="2">
        <f t="shared" si="11"/>
        <v>0.17999996730615153</v>
      </c>
    </row>
    <row r="201" spans="1:21" x14ac:dyDescent="0.3">
      <c r="A201">
        <v>10200</v>
      </c>
      <c r="B201" t="s">
        <v>152</v>
      </c>
      <c r="C201" t="s">
        <v>153</v>
      </c>
      <c r="D201" t="s">
        <v>20</v>
      </c>
      <c r="E201">
        <v>27</v>
      </c>
      <c r="F201" t="s">
        <v>59</v>
      </c>
      <c r="G201" t="s">
        <v>22</v>
      </c>
      <c r="H201" t="s">
        <v>23</v>
      </c>
      <c r="I201" t="s">
        <v>24</v>
      </c>
      <c r="J201">
        <v>15</v>
      </c>
      <c r="K201" s="1">
        <v>45692</v>
      </c>
      <c r="L201" s="1">
        <v>45698</v>
      </c>
      <c r="M201" t="s">
        <v>66</v>
      </c>
      <c r="N201" t="s">
        <v>26</v>
      </c>
      <c r="O201">
        <v>44607.14</v>
      </c>
      <c r="P201">
        <v>26764.28</v>
      </c>
      <c r="Q201">
        <v>17842.86</v>
      </c>
      <c r="R201" t="s">
        <v>32</v>
      </c>
      <c r="S201">
        <f t="shared" si="9"/>
        <v>6</v>
      </c>
      <c r="T201" s="2">
        <f t="shared" si="10"/>
        <v>0.59999991032825684</v>
      </c>
      <c r="U201" s="2">
        <f t="shared" si="11"/>
        <v>0.40000008967174316</v>
      </c>
    </row>
    <row r="202" spans="1:21" x14ac:dyDescent="0.3">
      <c r="A202">
        <v>10201</v>
      </c>
      <c r="B202" t="s">
        <v>78</v>
      </c>
      <c r="C202" t="s">
        <v>79</v>
      </c>
      <c r="D202" t="s">
        <v>20</v>
      </c>
      <c r="E202">
        <v>67</v>
      </c>
      <c r="F202" t="s">
        <v>35</v>
      </c>
      <c r="G202" t="s">
        <v>41</v>
      </c>
      <c r="H202" t="s">
        <v>42</v>
      </c>
      <c r="I202" t="s">
        <v>43</v>
      </c>
      <c r="J202">
        <v>9</v>
      </c>
      <c r="K202" s="1">
        <v>45864</v>
      </c>
      <c r="L202" s="1">
        <v>45871</v>
      </c>
      <c r="M202" t="s">
        <v>44</v>
      </c>
      <c r="N202" t="s">
        <v>51</v>
      </c>
      <c r="O202">
        <v>15088.31</v>
      </c>
      <c r="P202">
        <v>10561.82</v>
      </c>
      <c r="Q202">
        <v>4526.49</v>
      </c>
      <c r="R202" t="s">
        <v>32</v>
      </c>
      <c r="S202">
        <f t="shared" si="9"/>
        <v>7</v>
      </c>
      <c r="T202" s="2">
        <f t="shared" si="10"/>
        <v>0.70000019882942488</v>
      </c>
      <c r="U202" s="2">
        <f t="shared" si="11"/>
        <v>0.29999980117057512</v>
      </c>
    </row>
    <row r="203" spans="1:21" x14ac:dyDescent="0.3">
      <c r="A203">
        <v>10202</v>
      </c>
      <c r="B203" t="s">
        <v>133</v>
      </c>
      <c r="C203" t="s">
        <v>134</v>
      </c>
      <c r="D203" t="s">
        <v>20</v>
      </c>
      <c r="E203">
        <v>56</v>
      </c>
      <c r="F203" t="s">
        <v>40</v>
      </c>
      <c r="G203" t="s">
        <v>55</v>
      </c>
      <c r="H203" t="s">
        <v>56</v>
      </c>
      <c r="I203" t="s">
        <v>49</v>
      </c>
      <c r="J203">
        <v>10</v>
      </c>
      <c r="K203" s="1">
        <v>45682</v>
      </c>
      <c r="L203" s="1">
        <v>45687</v>
      </c>
      <c r="M203" t="s">
        <v>101</v>
      </c>
      <c r="N203" t="s">
        <v>51</v>
      </c>
      <c r="O203">
        <v>43381.84</v>
      </c>
      <c r="P203">
        <v>35573.11</v>
      </c>
      <c r="Q203">
        <v>7808.73</v>
      </c>
      <c r="R203" t="s">
        <v>27</v>
      </c>
      <c r="S203">
        <f t="shared" si="9"/>
        <v>5</v>
      </c>
      <c r="T203" s="2">
        <f t="shared" si="10"/>
        <v>0.82000002766134406</v>
      </c>
      <c r="U203" s="2">
        <f t="shared" si="11"/>
        <v>0.179999972338656</v>
      </c>
    </row>
    <row r="204" spans="1:21" x14ac:dyDescent="0.3">
      <c r="A204">
        <v>10203</v>
      </c>
      <c r="B204" t="s">
        <v>125</v>
      </c>
      <c r="C204" t="s">
        <v>126</v>
      </c>
      <c r="D204" t="s">
        <v>30</v>
      </c>
      <c r="E204">
        <v>73</v>
      </c>
      <c r="F204" t="s">
        <v>21</v>
      </c>
      <c r="G204" t="s">
        <v>88</v>
      </c>
      <c r="H204" t="s">
        <v>89</v>
      </c>
      <c r="I204" t="s">
        <v>62</v>
      </c>
      <c r="J204">
        <v>14</v>
      </c>
      <c r="K204" s="1">
        <v>45801</v>
      </c>
      <c r="L204" s="1">
        <v>45805</v>
      </c>
      <c r="M204" t="s">
        <v>96</v>
      </c>
      <c r="N204" t="s">
        <v>26</v>
      </c>
      <c r="O204">
        <v>150904.84</v>
      </c>
      <c r="P204">
        <v>92051.95</v>
      </c>
      <c r="Q204">
        <v>58852.89</v>
      </c>
      <c r="R204" t="s">
        <v>27</v>
      </c>
      <c r="S204">
        <f t="shared" si="9"/>
        <v>4</v>
      </c>
      <c r="T204" s="2">
        <f t="shared" si="10"/>
        <v>0.60999998409593759</v>
      </c>
      <c r="U204" s="2">
        <f t="shared" si="11"/>
        <v>0.39000001590406247</v>
      </c>
    </row>
    <row r="205" spans="1:21" x14ac:dyDescent="0.3">
      <c r="A205">
        <v>10204</v>
      </c>
      <c r="B205" t="s">
        <v>110</v>
      </c>
      <c r="C205" t="s">
        <v>111</v>
      </c>
      <c r="D205" t="s">
        <v>20</v>
      </c>
      <c r="E205">
        <v>44</v>
      </c>
      <c r="F205" t="s">
        <v>35</v>
      </c>
      <c r="G205" t="s">
        <v>41</v>
      </c>
      <c r="H205" t="s">
        <v>42</v>
      </c>
      <c r="I205" t="s">
        <v>43</v>
      </c>
      <c r="J205">
        <v>9</v>
      </c>
      <c r="K205" s="1">
        <v>45981</v>
      </c>
      <c r="L205" s="1">
        <v>45994</v>
      </c>
      <c r="M205" t="s">
        <v>112</v>
      </c>
      <c r="N205" t="s">
        <v>51</v>
      </c>
      <c r="O205">
        <v>63279.34</v>
      </c>
      <c r="P205">
        <v>51889.06</v>
      </c>
      <c r="Q205">
        <v>11390.28</v>
      </c>
      <c r="R205" t="s">
        <v>32</v>
      </c>
      <c r="S205">
        <f t="shared" si="9"/>
        <v>13</v>
      </c>
      <c r="T205" s="2">
        <f t="shared" si="10"/>
        <v>0.82000001896353536</v>
      </c>
      <c r="U205" s="2">
        <f t="shared" si="11"/>
        <v>0.1799999810364647</v>
      </c>
    </row>
    <row r="206" spans="1:21" x14ac:dyDescent="0.3">
      <c r="A206">
        <v>10205</v>
      </c>
      <c r="B206" t="s">
        <v>106</v>
      </c>
      <c r="C206" t="s">
        <v>107</v>
      </c>
      <c r="D206" t="s">
        <v>30</v>
      </c>
      <c r="E206">
        <v>37</v>
      </c>
      <c r="F206" t="s">
        <v>31</v>
      </c>
      <c r="G206" t="s">
        <v>88</v>
      </c>
      <c r="H206" t="s">
        <v>89</v>
      </c>
      <c r="I206" t="s">
        <v>62</v>
      </c>
      <c r="J206">
        <v>14</v>
      </c>
      <c r="K206" s="1">
        <v>45689</v>
      </c>
      <c r="L206" s="1">
        <v>45691</v>
      </c>
      <c r="M206" t="s">
        <v>63</v>
      </c>
      <c r="N206" t="s">
        <v>26</v>
      </c>
      <c r="O206">
        <v>18007.939999999999</v>
      </c>
      <c r="P206">
        <v>12065.32</v>
      </c>
      <c r="Q206">
        <v>5942.62</v>
      </c>
      <c r="R206" t="s">
        <v>27</v>
      </c>
      <c r="S206">
        <f t="shared" si="9"/>
        <v>2</v>
      </c>
      <c r="T206" s="2">
        <f t="shared" si="10"/>
        <v>0.6700000111062121</v>
      </c>
      <c r="U206" s="2">
        <f t="shared" si="11"/>
        <v>0.32999998889378795</v>
      </c>
    </row>
    <row r="207" spans="1:21" x14ac:dyDescent="0.3">
      <c r="A207">
        <v>10206</v>
      </c>
      <c r="B207" t="s">
        <v>90</v>
      </c>
      <c r="C207" t="s">
        <v>91</v>
      </c>
      <c r="D207" t="s">
        <v>20</v>
      </c>
      <c r="E207">
        <v>48</v>
      </c>
      <c r="F207" t="s">
        <v>84</v>
      </c>
      <c r="G207" t="s">
        <v>60</v>
      </c>
      <c r="H207" t="s">
        <v>61</v>
      </c>
      <c r="I207" t="s">
        <v>62</v>
      </c>
      <c r="J207">
        <v>18</v>
      </c>
      <c r="K207" s="1">
        <v>45722</v>
      </c>
      <c r="L207" s="1">
        <v>45734</v>
      </c>
      <c r="M207" t="s">
        <v>96</v>
      </c>
      <c r="N207" t="s">
        <v>26</v>
      </c>
      <c r="O207">
        <v>147796.69</v>
      </c>
      <c r="P207">
        <v>109369.55</v>
      </c>
      <c r="Q207">
        <v>38427.14</v>
      </c>
      <c r="R207" t="s">
        <v>27</v>
      </c>
      <c r="S207">
        <f t="shared" si="9"/>
        <v>12</v>
      </c>
      <c r="T207" s="2">
        <f t="shared" si="10"/>
        <v>0.73999999594036914</v>
      </c>
      <c r="U207" s="2">
        <f t="shared" si="11"/>
        <v>0.26000000405963081</v>
      </c>
    </row>
    <row r="208" spans="1:21" x14ac:dyDescent="0.3">
      <c r="A208">
        <v>10207</v>
      </c>
      <c r="B208" t="s">
        <v>150</v>
      </c>
      <c r="C208" t="s">
        <v>151</v>
      </c>
      <c r="D208" t="s">
        <v>30</v>
      </c>
      <c r="E208">
        <v>47</v>
      </c>
      <c r="F208" t="s">
        <v>54</v>
      </c>
      <c r="G208" t="s">
        <v>22</v>
      </c>
      <c r="H208" t="s">
        <v>23</v>
      </c>
      <c r="I208" t="s">
        <v>24</v>
      </c>
      <c r="J208">
        <v>15</v>
      </c>
      <c r="K208" s="1">
        <v>45900</v>
      </c>
      <c r="L208" s="1">
        <v>45904</v>
      </c>
      <c r="M208" t="s">
        <v>76</v>
      </c>
      <c r="N208" t="s">
        <v>26</v>
      </c>
      <c r="O208">
        <v>210250.76</v>
      </c>
      <c r="P208">
        <v>163995.59</v>
      </c>
      <c r="Q208">
        <v>46255.17</v>
      </c>
      <c r="R208" t="s">
        <v>32</v>
      </c>
      <c r="S208">
        <f t="shared" si="9"/>
        <v>4</v>
      </c>
      <c r="T208" s="2">
        <f t="shared" si="10"/>
        <v>0.77999998668256887</v>
      </c>
      <c r="U208" s="2">
        <f t="shared" si="11"/>
        <v>0.22000001331743105</v>
      </c>
    </row>
    <row r="209" spans="1:21" x14ac:dyDescent="0.3">
      <c r="A209">
        <v>10208</v>
      </c>
      <c r="B209" t="s">
        <v>150</v>
      </c>
      <c r="C209" t="s">
        <v>151</v>
      </c>
      <c r="D209" t="s">
        <v>30</v>
      </c>
      <c r="E209">
        <v>47</v>
      </c>
      <c r="F209" t="s">
        <v>54</v>
      </c>
      <c r="G209" t="s">
        <v>41</v>
      </c>
      <c r="H209" t="s">
        <v>42</v>
      </c>
      <c r="I209" t="s">
        <v>43</v>
      </c>
      <c r="J209">
        <v>9</v>
      </c>
      <c r="K209" s="1">
        <v>45701</v>
      </c>
      <c r="L209" s="1">
        <v>45707</v>
      </c>
      <c r="M209" t="s">
        <v>72</v>
      </c>
      <c r="N209" t="s">
        <v>51</v>
      </c>
      <c r="O209">
        <v>10521.3</v>
      </c>
      <c r="P209">
        <v>7049.27</v>
      </c>
      <c r="Q209">
        <v>3472.03</v>
      </c>
      <c r="R209" t="s">
        <v>32</v>
      </c>
      <c r="S209">
        <f t="shared" si="9"/>
        <v>6</v>
      </c>
      <c r="T209" s="2">
        <f t="shared" si="10"/>
        <v>0.66999990495471096</v>
      </c>
      <c r="U209" s="2">
        <f t="shared" si="11"/>
        <v>0.3300000950452891</v>
      </c>
    </row>
    <row r="210" spans="1:21" x14ac:dyDescent="0.3">
      <c r="A210">
        <v>10209</v>
      </c>
      <c r="B210" t="s">
        <v>99</v>
      </c>
      <c r="C210" t="s">
        <v>100</v>
      </c>
      <c r="D210" t="s">
        <v>30</v>
      </c>
      <c r="E210">
        <v>68</v>
      </c>
      <c r="F210" t="s">
        <v>69</v>
      </c>
      <c r="G210" t="s">
        <v>22</v>
      </c>
      <c r="H210" t="s">
        <v>23</v>
      </c>
      <c r="I210" t="s">
        <v>24</v>
      </c>
      <c r="J210">
        <v>15</v>
      </c>
      <c r="K210" s="1">
        <v>45956</v>
      </c>
      <c r="L210" s="1">
        <v>45960</v>
      </c>
      <c r="M210" t="s">
        <v>66</v>
      </c>
      <c r="N210" t="s">
        <v>26</v>
      </c>
      <c r="O210">
        <v>45729.21</v>
      </c>
      <c r="P210">
        <v>37497.949999999997</v>
      </c>
      <c r="Q210">
        <v>8231.26</v>
      </c>
      <c r="R210" t="s">
        <v>32</v>
      </c>
      <c r="S210">
        <f t="shared" si="9"/>
        <v>4</v>
      </c>
      <c r="T210" s="2">
        <f t="shared" si="10"/>
        <v>0.81999995189070618</v>
      </c>
      <c r="U210" s="2">
        <f t="shared" si="11"/>
        <v>0.18000004810929382</v>
      </c>
    </row>
    <row r="211" spans="1:21" x14ac:dyDescent="0.3">
      <c r="A211">
        <v>10210</v>
      </c>
      <c r="B211" t="s">
        <v>150</v>
      </c>
      <c r="C211" t="s">
        <v>151</v>
      </c>
      <c r="D211" t="s">
        <v>30</v>
      </c>
      <c r="E211">
        <v>47</v>
      </c>
      <c r="F211" t="s">
        <v>54</v>
      </c>
      <c r="G211" t="s">
        <v>47</v>
      </c>
      <c r="H211" t="s">
        <v>48</v>
      </c>
      <c r="I211" t="s">
        <v>49</v>
      </c>
      <c r="J211">
        <v>8</v>
      </c>
      <c r="K211" s="1">
        <v>45981</v>
      </c>
      <c r="L211" s="1">
        <v>45990</v>
      </c>
      <c r="M211" t="s">
        <v>50</v>
      </c>
      <c r="N211" t="s">
        <v>26</v>
      </c>
      <c r="O211">
        <v>243463.94</v>
      </c>
      <c r="P211">
        <v>153382.28</v>
      </c>
      <c r="Q211">
        <v>90081.66</v>
      </c>
      <c r="R211" t="s">
        <v>32</v>
      </c>
      <c r="S211">
        <f t="shared" si="9"/>
        <v>9</v>
      </c>
      <c r="T211" s="2">
        <f t="shared" si="10"/>
        <v>0.62999999096375425</v>
      </c>
      <c r="U211" s="2">
        <f t="shared" si="11"/>
        <v>0.3700000090362458</v>
      </c>
    </row>
    <row r="212" spans="1:21" x14ac:dyDescent="0.3">
      <c r="A212">
        <v>10211</v>
      </c>
      <c r="B212" t="s">
        <v>135</v>
      </c>
      <c r="C212" t="s">
        <v>136</v>
      </c>
      <c r="D212" t="s">
        <v>30</v>
      </c>
      <c r="E212">
        <v>52</v>
      </c>
      <c r="F212" t="s">
        <v>35</v>
      </c>
      <c r="G212" t="s">
        <v>47</v>
      </c>
      <c r="H212" t="s">
        <v>48</v>
      </c>
      <c r="I212" t="s">
        <v>49</v>
      </c>
      <c r="J212">
        <v>8</v>
      </c>
      <c r="K212" s="1">
        <v>45668</v>
      </c>
      <c r="L212" s="1">
        <v>45675</v>
      </c>
      <c r="M212" t="s">
        <v>85</v>
      </c>
      <c r="N212" t="s">
        <v>26</v>
      </c>
      <c r="O212">
        <v>91170.46</v>
      </c>
      <c r="P212">
        <v>55613.98</v>
      </c>
      <c r="Q212">
        <v>35556.480000000003</v>
      </c>
      <c r="R212" t="s">
        <v>32</v>
      </c>
      <c r="S212">
        <f t="shared" si="9"/>
        <v>7</v>
      </c>
      <c r="T212" s="2">
        <f t="shared" si="10"/>
        <v>0.60999999341892097</v>
      </c>
      <c r="U212" s="2">
        <f t="shared" si="11"/>
        <v>0.39000000658107903</v>
      </c>
    </row>
    <row r="213" spans="1:21" x14ac:dyDescent="0.3">
      <c r="A213">
        <v>10212</v>
      </c>
      <c r="B213" t="s">
        <v>86</v>
      </c>
      <c r="C213" t="s">
        <v>87</v>
      </c>
      <c r="D213" t="s">
        <v>30</v>
      </c>
      <c r="E213">
        <v>23</v>
      </c>
      <c r="F213" t="s">
        <v>31</v>
      </c>
      <c r="G213" t="s">
        <v>47</v>
      </c>
      <c r="H213" t="s">
        <v>48</v>
      </c>
      <c r="I213" t="s">
        <v>49</v>
      </c>
      <c r="J213">
        <v>8</v>
      </c>
      <c r="K213" s="1">
        <v>45761</v>
      </c>
      <c r="L213" s="1">
        <v>45763</v>
      </c>
      <c r="M213" t="s">
        <v>101</v>
      </c>
      <c r="N213" t="s">
        <v>26</v>
      </c>
      <c r="O213">
        <v>57266.13</v>
      </c>
      <c r="P213">
        <v>41804.269999999997</v>
      </c>
      <c r="Q213">
        <v>15461.86</v>
      </c>
      <c r="R213" t="s">
        <v>32</v>
      </c>
      <c r="S213">
        <f t="shared" si="9"/>
        <v>2</v>
      </c>
      <c r="T213" s="2">
        <f t="shared" si="10"/>
        <v>0.72999991443458812</v>
      </c>
      <c r="U213" s="2">
        <f t="shared" si="11"/>
        <v>0.27000008556541188</v>
      </c>
    </row>
    <row r="214" spans="1:21" x14ac:dyDescent="0.3">
      <c r="A214">
        <v>10213</v>
      </c>
      <c r="B214" t="s">
        <v>125</v>
      </c>
      <c r="C214" t="s">
        <v>126</v>
      </c>
      <c r="D214" t="s">
        <v>30</v>
      </c>
      <c r="E214">
        <v>73</v>
      </c>
      <c r="F214" t="s">
        <v>21</v>
      </c>
      <c r="G214" t="s">
        <v>36</v>
      </c>
      <c r="H214" t="s">
        <v>37</v>
      </c>
      <c r="I214" t="s">
        <v>24</v>
      </c>
      <c r="J214">
        <v>12</v>
      </c>
      <c r="K214" s="1">
        <v>45863</v>
      </c>
      <c r="L214" s="1">
        <v>45872</v>
      </c>
      <c r="M214" t="s">
        <v>25</v>
      </c>
      <c r="N214" t="s">
        <v>26</v>
      </c>
      <c r="O214">
        <v>94744.5</v>
      </c>
      <c r="P214">
        <v>70110.929999999993</v>
      </c>
      <c r="Q214">
        <v>24633.57</v>
      </c>
      <c r="R214" t="s">
        <v>32</v>
      </c>
      <c r="S214">
        <f t="shared" si="9"/>
        <v>9</v>
      </c>
      <c r="T214" s="2">
        <f t="shared" si="10"/>
        <v>0.73999999999999988</v>
      </c>
      <c r="U214" s="2">
        <f t="shared" si="11"/>
        <v>0.26</v>
      </c>
    </row>
    <row r="215" spans="1:21" x14ac:dyDescent="0.3">
      <c r="A215">
        <v>10214</v>
      </c>
      <c r="B215" t="s">
        <v>104</v>
      </c>
      <c r="C215" t="s">
        <v>105</v>
      </c>
      <c r="D215" t="s">
        <v>30</v>
      </c>
      <c r="E215">
        <v>68</v>
      </c>
      <c r="F215" t="s">
        <v>21</v>
      </c>
      <c r="G215" t="s">
        <v>55</v>
      </c>
      <c r="H215" t="s">
        <v>56</v>
      </c>
      <c r="I215" t="s">
        <v>49</v>
      </c>
      <c r="J215">
        <v>10</v>
      </c>
      <c r="K215" s="1">
        <v>45689</v>
      </c>
      <c r="L215" s="1">
        <v>45702</v>
      </c>
      <c r="M215" t="s">
        <v>101</v>
      </c>
      <c r="N215" t="s">
        <v>51</v>
      </c>
      <c r="O215">
        <v>41912.949999999997</v>
      </c>
      <c r="P215">
        <v>33111.230000000003</v>
      </c>
      <c r="Q215">
        <v>8801.7199999999993</v>
      </c>
      <c r="R215" t="s">
        <v>32</v>
      </c>
      <c r="S215">
        <f t="shared" si="9"/>
        <v>13</v>
      </c>
      <c r="T215" s="2">
        <f t="shared" si="10"/>
        <v>0.78999998807051297</v>
      </c>
      <c r="U215" s="2">
        <f t="shared" si="11"/>
        <v>0.2100000119294872</v>
      </c>
    </row>
    <row r="216" spans="1:21" x14ac:dyDescent="0.3">
      <c r="A216">
        <v>10215</v>
      </c>
      <c r="B216" t="s">
        <v>102</v>
      </c>
      <c r="C216" t="s">
        <v>103</v>
      </c>
      <c r="D216" t="s">
        <v>30</v>
      </c>
      <c r="E216">
        <v>59</v>
      </c>
      <c r="F216" t="s">
        <v>75</v>
      </c>
      <c r="G216" t="s">
        <v>22</v>
      </c>
      <c r="H216" t="s">
        <v>23</v>
      </c>
      <c r="I216" t="s">
        <v>24</v>
      </c>
      <c r="J216">
        <v>15</v>
      </c>
      <c r="K216" s="1">
        <v>45752</v>
      </c>
      <c r="L216" s="1">
        <v>45763</v>
      </c>
      <c r="M216" t="s">
        <v>66</v>
      </c>
      <c r="N216" t="s">
        <v>26</v>
      </c>
      <c r="O216">
        <v>40414.51</v>
      </c>
      <c r="P216">
        <v>30310.880000000001</v>
      </c>
      <c r="Q216">
        <v>10103.629999999999</v>
      </c>
      <c r="R216" t="s">
        <v>32</v>
      </c>
      <c r="S216">
        <f t="shared" si="9"/>
        <v>11</v>
      </c>
      <c r="T216" s="2">
        <f t="shared" si="10"/>
        <v>0.74999993814102905</v>
      </c>
      <c r="U216" s="2">
        <f t="shared" si="11"/>
        <v>0.25000006185897089</v>
      </c>
    </row>
    <row r="217" spans="1:21" x14ac:dyDescent="0.3">
      <c r="A217">
        <v>10216</v>
      </c>
      <c r="B217" t="s">
        <v>120</v>
      </c>
      <c r="C217" t="s">
        <v>74</v>
      </c>
      <c r="D217" t="s">
        <v>20</v>
      </c>
      <c r="E217">
        <v>61</v>
      </c>
      <c r="F217" t="s">
        <v>69</v>
      </c>
      <c r="G217" t="s">
        <v>55</v>
      </c>
      <c r="H217" t="s">
        <v>56</v>
      </c>
      <c r="I217" t="s">
        <v>49</v>
      </c>
      <c r="J217">
        <v>10</v>
      </c>
      <c r="K217" s="1">
        <v>45798</v>
      </c>
      <c r="L217" s="1">
        <v>45800</v>
      </c>
      <c r="M217" t="s">
        <v>85</v>
      </c>
      <c r="N217" t="s">
        <v>26</v>
      </c>
      <c r="O217">
        <v>109259.25</v>
      </c>
      <c r="P217">
        <v>75388.88</v>
      </c>
      <c r="Q217">
        <v>33870.370000000003</v>
      </c>
      <c r="R217" t="s">
        <v>32</v>
      </c>
      <c r="S217">
        <f t="shared" si="9"/>
        <v>2</v>
      </c>
      <c r="T217" s="2">
        <f t="shared" si="10"/>
        <v>0.68999997711864214</v>
      </c>
      <c r="U217" s="2">
        <f t="shared" si="11"/>
        <v>0.31000002288135792</v>
      </c>
    </row>
    <row r="218" spans="1:21" x14ac:dyDescent="0.3">
      <c r="A218">
        <v>10217</v>
      </c>
      <c r="B218" t="s">
        <v>135</v>
      </c>
      <c r="C218" t="s">
        <v>136</v>
      </c>
      <c r="D218" t="s">
        <v>30</v>
      </c>
      <c r="E218">
        <v>52</v>
      </c>
      <c r="F218" t="s">
        <v>35</v>
      </c>
      <c r="G218" t="s">
        <v>88</v>
      </c>
      <c r="H218" t="s">
        <v>89</v>
      </c>
      <c r="I218" t="s">
        <v>62</v>
      </c>
      <c r="J218">
        <v>14</v>
      </c>
      <c r="K218" s="1">
        <v>45881</v>
      </c>
      <c r="L218" s="1">
        <v>45892</v>
      </c>
      <c r="M218" t="s">
        <v>63</v>
      </c>
      <c r="N218" t="s">
        <v>51</v>
      </c>
      <c r="O218">
        <v>31818.45</v>
      </c>
      <c r="P218">
        <v>21318.36</v>
      </c>
      <c r="Q218">
        <v>10500.09</v>
      </c>
      <c r="R218" t="s">
        <v>32</v>
      </c>
      <c r="S218">
        <f t="shared" si="9"/>
        <v>11</v>
      </c>
      <c r="T218" s="2">
        <f t="shared" si="10"/>
        <v>0.66999995285754022</v>
      </c>
      <c r="U218" s="2">
        <f t="shared" si="11"/>
        <v>0.33000004714245978</v>
      </c>
    </row>
    <row r="219" spans="1:21" x14ac:dyDescent="0.3">
      <c r="A219">
        <v>10218</v>
      </c>
      <c r="B219" t="s">
        <v>115</v>
      </c>
      <c r="C219" t="s">
        <v>116</v>
      </c>
      <c r="D219" t="s">
        <v>30</v>
      </c>
      <c r="E219">
        <v>18</v>
      </c>
      <c r="F219" t="s">
        <v>31</v>
      </c>
      <c r="G219" t="s">
        <v>60</v>
      </c>
      <c r="H219" t="s">
        <v>61</v>
      </c>
      <c r="I219" t="s">
        <v>62</v>
      </c>
      <c r="J219">
        <v>18</v>
      </c>
      <c r="K219" s="1">
        <v>45970</v>
      </c>
      <c r="L219" s="1">
        <v>45974</v>
      </c>
      <c r="M219" t="s">
        <v>63</v>
      </c>
      <c r="N219" t="s">
        <v>26</v>
      </c>
      <c r="O219">
        <v>41424.78</v>
      </c>
      <c r="P219">
        <v>32311.33</v>
      </c>
      <c r="Q219">
        <v>9113.4500000000007</v>
      </c>
      <c r="R219" t="s">
        <v>32</v>
      </c>
      <c r="S219">
        <f t="shared" si="9"/>
        <v>4</v>
      </c>
      <c r="T219" s="2">
        <f t="shared" si="10"/>
        <v>0.78000003862422451</v>
      </c>
      <c r="U219" s="2">
        <f t="shared" si="11"/>
        <v>0.2199999613757756</v>
      </c>
    </row>
    <row r="220" spans="1:21" x14ac:dyDescent="0.3">
      <c r="A220">
        <v>10219</v>
      </c>
      <c r="B220" t="s">
        <v>82</v>
      </c>
      <c r="C220" t="s">
        <v>83</v>
      </c>
      <c r="D220" t="s">
        <v>20</v>
      </c>
      <c r="E220">
        <v>74</v>
      </c>
      <c r="F220" t="s">
        <v>84</v>
      </c>
      <c r="G220" t="s">
        <v>41</v>
      </c>
      <c r="H220" t="s">
        <v>42</v>
      </c>
      <c r="I220" t="s">
        <v>43</v>
      </c>
      <c r="J220">
        <v>9</v>
      </c>
      <c r="K220" s="1">
        <v>45729</v>
      </c>
      <c r="L220" s="1">
        <v>45741</v>
      </c>
      <c r="M220" t="s">
        <v>44</v>
      </c>
      <c r="N220" t="s">
        <v>26</v>
      </c>
      <c r="O220">
        <v>18192.37</v>
      </c>
      <c r="P220">
        <v>14917.74</v>
      </c>
      <c r="Q220">
        <v>3274.63</v>
      </c>
      <c r="R220" t="s">
        <v>27</v>
      </c>
      <c r="S220">
        <f t="shared" si="9"/>
        <v>12</v>
      </c>
      <c r="T220" s="2">
        <f t="shared" si="10"/>
        <v>0.81999981310846248</v>
      </c>
      <c r="U220" s="2">
        <f t="shared" si="11"/>
        <v>0.18000018689153752</v>
      </c>
    </row>
    <row r="221" spans="1:21" x14ac:dyDescent="0.3">
      <c r="A221">
        <v>10220</v>
      </c>
      <c r="B221" t="s">
        <v>90</v>
      </c>
      <c r="C221" t="s">
        <v>91</v>
      </c>
      <c r="D221" t="s">
        <v>20</v>
      </c>
      <c r="E221">
        <v>48</v>
      </c>
      <c r="F221" t="s">
        <v>84</v>
      </c>
      <c r="G221" t="s">
        <v>55</v>
      </c>
      <c r="H221" t="s">
        <v>56</v>
      </c>
      <c r="I221" t="s">
        <v>49</v>
      </c>
      <c r="J221">
        <v>10</v>
      </c>
      <c r="K221" s="1">
        <v>45809</v>
      </c>
      <c r="L221" s="1">
        <v>45817</v>
      </c>
      <c r="M221" t="s">
        <v>101</v>
      </c>
      <c r="N221" t="s">
        <v>26</v>
      </c>
      <c r="O221">
        <v>64283.6</v>
      </c>
      <c r="P221">
        <v>43070.01</v>
      </c>
      <c r="Q221">
        <v>21213.59</v>
      </c>
      <c r="R221" t="s">
        <v>32</v>
      </c>
      <c r="S221">
        <f t="shared" si="9"/>
        <v>8</v>
      </c>
      <c r="T221" s="2">
        <f t="shared" si="10"/>
        <v>0.66999996888786573</v>
      </c>
      <c r="U221" s="2">
        <f t="shared" si="11"/>
        <v>0.33000003111213438</v>
      </c>
    </row>
    <row r="222" spans="1:21" x14ac:dyDescent="0.3">
      <c r="A222">
        <v>10221</v>
      </c>
      <c r="B222" t="s">
        <v>123</v>
      </c>
      <c r="C222" t="s">
        <v>124</v>
      </c>
      <c r="D222" t="s">
        <v>30</v>
      </c>
      <c r="E222">
        <v>65</v>
      </c>
      <c r="F222" t="s">
        <v>35</v>
      </c>
      <c r="G222" t="s">
        <v>41</v>
      </c>
      <c r="H222" t="s">
        <v>42</v>
      </c>
      <c r="I222" t="s">
        <v>43</v>
      </c>
      <c r="J222">
        <v>9</v>
      </c>
      <c r="K222" s="1">
        <v>45740</v>
      </c>
      <c r="L222" s="1">
        <v>45753</v>
      </c>
      <c r="M222" t="s">
        <v>44</v>
      </c>
      <c r="N222" t="s">
        <v>26</v>
      </c>
      <c r="O222">
        <v>21098.15</v>
      </c>
      <c r="P222">
        <v>14768.7</v>
      </c>
      <c r="Q222">
        <v>6329.45</v>
      </c>
      <c r="R222" t="s">
        <v>27</v>
      </c>
      <c r="S222">
        <f t="shared" si="9"/>
        <v>13</v>
      </c>
      <c r="T222" s="2">
        <f t="shared" si="10"/>
        <v>0.69999976301239686</v>
      </c>
      <c r="U222" s="2">
        <f t="shared" si="11"/>
        <v>0.30000023698760314</v>
      </c>
    </row>
    <row r="223" spans="1:21" x14ac:dyDescent="0.3">
      <c r="A223">
        <v>10222</v>
      </c>
      <c r="B223" t="s">
        <v>94</v>
      </c>
      <c r="C223" t="s">
        <v>95</v>
      </c>
      <c r="D223" t="s">
        <v>30</v>
      </c>
      <c r="E223">
        <v>66</v>
      </c>
      <c r="F223" t="s">
        <v>54</v>
      </c>
      <c r="G223" t="s">
        <v>55</v>
      </c>
      <c r="H223" t="s">
        <v>56</v>
      </c>
      <c r="I223" t="s">
        <v>49</v>
      </c>
      <c r="J223">
        <v>10</v>
      </c>
      <c r="K223" s="1">
        <v>45797</v>
      </c>
      <c r="L223" s="1">
        <v>45808</v>
      </c>
      <c r="M223" t="s">
        <v>101</v>
      </c>
      <c r="N223" t="s">
        <v>26</v>
      </c>
      <c r="O223">
        <v>53060.92</v>
      </c>
      <c r="P223">
        <v>43509.95</v>
      </c>
      <c r="Q223">
        <v>9550.9699999999993</v>
      </c>
      <c r="R223" t="s">
        <v>27</v>
      </c>
      <c r="S223">
        <f t="shared" si="9"/>
        <v>11</v>
      </c>
      <c r="T223" s="2">
        <f t="shared" si="10"/>
        <v>0.81999991707644715</v>
      </c>
      <c r="U223" s="2">
        <f t="shared" si="11"/>
        <v>0.18000008292355277</v>
      </c>
    </row>
    <row r="224" spans="1:21" x14ac:dyDescent="0.3">
      <c r="A224">
        <v>10223</v>
      </c>
      <c r="B224" t="s">
        <v>82</v>
      </c>
      <c r="C224" t="s">
        <v>83</v>
      </c>
      <c r="D224" t="s">
        <v>20</v>
      </c>
      <c r="E224">
        <v>74</v>
      </c>
      <c r="F224" t="s">
        <v>84</v>
      </c>
      <c r="G224" t="s">
        <v>88</v>
      </c>
      <c r="H224" t="s">
        <v>89</v>
      </c>
      <c r="I224" t="s">
        <v>62</v>
      </c>
      <c r="J224">
        <v>14</v>
      </c>
      <c r="K224" s="1">
        <v>45829</v>
      </c>
      <c r="L224" s="1">
        <v>45836</v>
      </c>
      <c r="M224" t="s">
        <v>63</v>
      </c>
      <c r="N224" t="s">
        <v>26</v>
      </c>
      <c r="O224">
        <v>42426.33</v>
      </c>
      <c r="P224">
        <v>33092.54</v>
      </c>
      <c r="Q224">
        <v>9333.7900000000009</v>
      </c>
      <c r="R224" t="s">
        <v>27</v>
      </c>
      <c r="S224">
        <f t="shared" si="9"/>
        <v>7</v>
      </c>
      <c r="T224" s="2">
        <f t="shared" si="10"/>
        <v>0.78000006128269872</v>
      </c>
      <c r="U224" s="2">
        <f t="shared" si="11"/>
        <v>0.21999993871730128</v>
      </c>
    </row>
    <row r="225" spans="1:21" x14ac:dyDescent="0.3">
      <c r="A225">
        <v>10224</v>
      </c>
      <c r="B225" t="s">
        <v>99</v>
      </c>
      <c r="C225" t="s">
        <v>100</v>
      </c>
      <c r="D225" t="s">
        <v>30</v>
      </c>
      <c r="E225">
        <v>68</v>
      </c>
      <c r="F225" t="s">
        <v>69</v>
      </c>
      <c r="G225" t="s">
        <v>22</v>
      </c>
      <c r="H225" t="s">
        <v>23</v>
      </c>
      <c r="I225" t="s">
        <v>24</v>
      </c>
      <c r="J225">
        <v>15</v>
      </c>
      <c r="K225" s="1">
        <v>45853</v>
      </c>
      <c r="L225" s="1">
        <v>45866</v>
      </c>
      <c r="M225" t="s">
        <v>25</v>
      </c>
      <c r="N225" t="s">
        <v>51</v>
      </c>
      <c r="O225">
        <v>131821.29999999999</v>
      </c>
      <c r="P225">
        <v>89638.48</v>
      </c>
      <c r="Q225">
        <v>42182.82</v>
      </c>
      <c r="R225" t="s">
        <v>32</v>
      </c>
      <c r="S225">
        <f t="shared" si="9"/>
        <v>13</v>
      </c>
      <c r="T225" s="2">
        <f t="shared" si="10"/>
        <v>0.67999996965589027</v>
      </c>
      <c r="U225" s="2">
        <f t="shared" si="11"/>
        <v>0.32000003034410984</v>
      </c>
    </row>
    <row r="226" spans="1:21" x14ac:dyDescent="0.3">
      <c r="A226">
        <v>10225</v>
      </c>
      <c r="B226" t="s">
        <v>137</v>
      </c>
      <c r="C226" t="s">
        <v>138</v>
      </c>
      <c r="D226" t="s">
        <v>30</v>
      </c>
      <c r="E226">
        <v>56</v>
      </c>
      <c r="F226" t="s">
        <v>59</v>
      </c>
      <c r="G226" t="s">
        <v>22</v>
      </c>
      <c r="H226" t="s">
        <v>23</v>
      </c>
      <c r="I226" t="s">
        <v>24</v>
      </c>
      <c r="J226">
        <v>15</v>
      </c>
      <c r="K226" s="1">
        <v>45953</v>
      </c>
      <c r="L226" s="1">
        <v>45963</v>
      </c>
      <c r="M226" t="s">
        <v>25</v>
      </c>
      <c r="N226" t="s">
        <v>51</v>
      </c>
      <c r="O226">
        <v>133134</v>
      </c>
      <c r="P226">
        <v>103844.52</v>
      </c>
      <c r="Q226">
        <v>29289.48</v>
      </c>
      <c r="R226" t="s">
        <v>32</v>
      </c>
      <c r="S226">
        <f t="shared" si="9"/>
        <v>10</v>
      </c>
      <c r="T226" s="2">
        <f t="shared" si="10"/>
        <v>0.78</v>
      </c>
      <c r="U226" s="2">
        <f t="shared" si="11"/>
        <v>0.22</v>
      </c>
    </row>
    <row r="227" spans="1:21" x14ac:dyDescent="0.3">
      <c r="A227">
        <v>10226</v>
      </c>
      <c r="B227" t="s">
        <v>94</v>
      </c>
      <c r="C227" t="s">
        <v>95</v>
      </c>
      <c r="D227" t="s">
        <v>30</v>
      </c>
      <c r="E227">
        <v>66</v>
      </c>
      <c r="F227" t="s">
        <v>54</v>
      </c>
      <c r="G227" t="s">
        <v>88</v>
      </c>
      <c r="H227" t="s">
        <v>89</v>
      </c>
      <c r="I227" t="s">
        <v>62</v>
      </c>
      <c r="J227">
        <v>14</v>
      </c>
      <c r="K227" s="1">
        <v>45889</v>
      </c>
      <c r="L227" s="1">
        <v>45896</v>
      </c>
      <c r="M227" t="s">
        <v>96</v>
      </c>
      <c r="N227" t="s">
        <v>51</v>
      </c>
      <c r="O227">
        <v>299663.53999999998</v>
      </c>
      <c r="P227">
        <v>242727.47</v>
      </c>
      <c r="Q227">
        <v>56936.07</v>
      </c>
      <c r="R227" t="s">
        <v>32</v>
      </c>
      <c r="S227">
        <f t="shared" si="9"/>
        <v>7</v>
      </c>
      <c r="T227" s="2">
        <f t="shared" si="10"/>
        <v>0.81000000867639754</v>
      </c>
      <c r="U227" s="2">
        <f t="shared" si="11"/>
        <v>0.18999999132360249</v>
      </c>
    </row>
    <row r="228" spans="1:21" x14ac:dyDescent="0.3">
      <c r="A228">
        <v>10227</v>
      </c>
      <c r="B228" t="s">
        <v>123</v>
      </c>
      <c r="C228" t="s">
        <v>124</v>
      </c>
      <c r="D228" t="s">
        <v>30</v>
      </c>
      <c r="E228">
        <v>65</v>
      </c>
      <c r="F228" t="s">
        <v>35</v>
      </c>
      <c r="G228" t="s">
        <v>60</v>
      </c>
      <c r="H228" t="s">
        <v>61</v>
      </c>
      <c r="I228" t="s">
        <v>62</v>
      </c>
      <c r="J228">
        <v>18</v>
      </c>
      <c r="K228" s="1">
        <v>45885</v>
      </c>
      <c r="L228" s="1">
        <v>45897</v>
      </c>
      <c r="M228" t="s">
        <v>63</v>
      </c>
      <c r="N228" t="s">
        <v>26</v>
      </c>
      <c r="O228">
        <v>30715.67</v>
      </c>
      <c r="P228">
        <v>19965.189999999999</v>
      </c>
      <c r="Q228">
        <v>10750.48</v>
      </c>
      <c r="R228" t="s">
        <v>32</v>
      </c>
      <c r="S228">
        <f t="shared" si="9"/>
        <v>12</v>
      </c>
      <c r="T228" s="2">
        <f t="shared" si="10"/>
        <v>0.65000014650502491</v>
      </c>
      <c r="U228" s="2">
        <f t="shared" si="11"/>
        <v>0.34999985349497503</v>
      </c>
    </row>
    <row r="229" spans="1:21" x14ac:dyDescent="0.3">
      <c r="A229">
        <v>10228</v>
      </c>
      <c r="B229" t="s">
        <v>127</v>
      </c>
      <c r="C229" t="s">
        <v>128</v>
      </c>
      <c r="D229" t="s">
        <v>20</v>
      </c>
      <c r="E229">
        <v>41</v>
      </c>
      <c r="F229" t="s">
        <v>54</v>
      </c>
      <c r="G229" t="s">
        <v>41</v>
      </c>
      <c r="H229" t="s">
        <v>42</v>
      </c>
      <c r="I229" t="s">
        <v>43</v>
      </c>
      <c r="J229">
        <v>9</v>
      </c>
      <c r="K229" s="1">
        <v>45818</v>
      </c>
      <c r="L229" s="1">
        <v>45822</v>
      </c>
      <c r="M229" t="s">
        <v>112</v>
      </c>
      <c r="N229" t="s">
        <v>26</v>
      </c>
      <c r="O229">
        <v>66268.25</v>
      </c>
      <c r="P229">
        <v>43737.05</v>
      </c>
      <c r="Q229">
        <v>22531.200000000001</v>
      </c>
      <c r="R229" t="s">
        <v>32</v>
      </c>
      <c r="S229">
        <f t="shared" si="9"/>
        <v>4</v>
      </c>
      <c r="T229" s="2">
        <f t="shared" si="10"/>
        <v>0.66000007545091355</v>
      </c>
      <c r="U229" s="2">
        <f t="shared" si="11"/>
        <v>0.33999992454908651</v>
      </c>
    </row>
    <row r="230" spans="1:21" x14ac:dyDescent="0.3">
      <c r="A230">
        <v>10229</v>
      </c>
      <c r="B230" t="s">
        <v>38</v>
      </c>
      <c r="C230" t="s">
        <v>39</v>
      </c>
      <c r="D230" t="s">
        <v>30</v>
      </c>
      <c r="E230">
        <v>62</v>
      </c>
      <c r="F230" t="s">
        <v>40</v>
      </c>
      <c r="G230" t="s">
        <v>22</v>
      </c>
      <c r="H230" t="s">
        <v>23</v>
      </c>
      <c r="I230" t="s">
        <v>24</v>
      </c>
      <c r="J230">
        <v>15</v>
      </c>
      <c r="K230" s="1">
        <v>45780</v>
      </c>
      <c r="L230" s="1">
        <v>45794</v>
      </c>
      <c r="M230" t="s">
        <v>76</v>
      </c>
      <c r="N230" t="s">
        <v>26</v>
      </c>
      <c r="O230">
        <v>124917.43</v>
      </c>
      <c r="P230">
        <v>88691.38</v>
      </c>
      <c r="Q230">
        <v>36226.050000000003</v>
      </c>
      <c r="R230" t="s">
        <v>32</v>
      </c>
      <c r="S230">
        <f t="shared" si="9"/>
        <v>14</v>
      </c>
      <c r="T230" s="2">
        <f t="shared" si="10"/>
        <v>0.71000003762485353</v>
      </c>
      <c r="U230" s="2">
        <f t="shared" si="11"/>
        <v>0.28999996237514658</v>
      </c>
    </row>
    <row r="231" spans="1:21" x14ac:dyDescent="0.3">
      <c r="A231">
        <v>10230</v>
      </c>
      <c r="B231" t="s">
        <v>57</v>
      </c>
      <c r="C231" t="s">
        <v>58</v>
      </c>
      <c r="D231" t="s">
        <v>20</v>
      </c>
      <c r="E231">
        <v>45</v>
      </c>
      <c r="F231" t="s">
        <v>59</v>
      </c>
      <c r="G231" t="s">
        <v>36</v>
      </c>
      <c r="H231" t="s">
        <v>37</v>
      </c>
      <c r="I231" t="s">
        <v>24</v>
      </c>
      <c r="J231">
        <v>12</v>
      </c>
      <c r="K231" s="1">
        <v>45900</v>
      </c>
      <c r="L231" s="1">
        <v>45909</v>
      </c>
      <c r="M231" t="s">
        <v>76</v>
      </c>
      <c r="N231" t="s">
        <v>26</v>
      </c>
      <c r="O231">
        <v>176327.88</v>
      </c>
      <c r="P231">
        <v>118139.68</v>
      </c>
      <c r="Q231">
        <v>58188.2</v>
      </c>
      <c r="R231" t="s">
        <v>27</v>
      </c>
      <c r="S231">
        <f t="shared" si="9"/>
        <v>9</v>
      </c>
      <c r="T231" s="2">
        <f t="shared" si="10"/>
        <v>0.67000000226850109</v>
      </c>
      <c r="U231" s="2">
        <f t="shared" si="11"/>
        <v>0.3299999977314988</v>
      </c>
    </row>
    <row r="232" spans="1:21" x14ac:dyDescent="0.3">
      <c r="A232">
        <v>10231</v>
      </c>
      <c r="B232" t="s">
        <v>97</v>
      </c>
      <c r="C232" t="s">
        <v>98</v>
      </c>
      <c r="D232" t="s">
        <v>20</v>
      </c>
      <c r="E232">
        <v>43</v>
      </c>
      <c r="F232" t="s">
        <v>69</v>
      </c>
      <c r="G232" t="s">
        <v>55</v>
      </c>
      <c r="H232" t="s">
        <v>56</v>
      </c>
      <c r="I232" t="s">
        <v>49</v>
      </c>
      <c r="J232">
        <v>10</v>
      </c>
      <c r="K232" s="1">
        <v>45949</v>
      </c>
      <c r="L232" s="1">
        <v>45951</v>
      </c>
      <c r="M232" t="s">
        <v>101</v>
      </c>
      <c r="N232" t="s">
        <v>26</v>
      </c>
      <c r="O232">
        <v>60097.98</v>
      </c>
      <c r="P232">
        <v>49881.32</v>
      </c>
      <c r="Q232">
        <v>10216.66</v>
      </c>
      <c r="R232" t="s">
        <v>27</v>
      </c>
      <c r="S232">
        <f t="shared" si="9"/>
        <v>2</v>
      </c>
      <c r="T232" s="2">
        <f t="shared" si="10"/>
        <v>0.82999994342571903</v>
      </c>
      <c r="U232" s="2">
        <f t="shared" si="11"/>
        <v>0.17000005657428086</v>
      </c>
    </row>
    <row r="233" spans="1:21" x14ac:dyDescent="0.3">
      <c r="A233">
        <v>10232</v>
      </c>
      <c r="B233" t="s">
        <v>108</v>
      </c>
      <c r="C233" t="s">
        <v>109</v>
      </c>
      <c r="D233" t="s">
        <v>20</v>
      </c>
      <c r="E233">
        <v>34</v>
      </c>
      <c r="F233" t="s">
        <v>40</v>
      </c>
      <c r="G233" t="s">
        <v>60</v>
      </c>
      <c r="H233" t="s">
        <v>61</v>
      </c>
      <c r="I233" t="s">
        <v>62</v>
      </c>
      <c r="J233">
        <v>18</v>
      </c>
      <c r="K233" s="1">
        <v>45822</v>
      </c>
      <c r="L233" s="1">
        <v>45825</v>
      </c>
      <c r="M233" t="s">
        <v>63</v>
      </c>
      <c r="N233" t="s">
        <v>51</v>
      </c>
      <c r="O233">
        <v>27508.05</v>
      </c>
      <c r="P233">
        <v>18430.39</v>
      </c>
      <c r="Q233">
        <v>9077.66</v>
      </c>
      <c r="R233" t="s">
        <v>27</v>
      </c>
      <c r="S233">
        <f t="shared" si="9"/>
        <v>3</v>
      </c>
      <c r="T233" s="2">
        <f t="shared" si="10"/>
        <v>0.669999872764518</v>
      </c>
      <c r="U233" s="2">
        <f t="shared" si="11"/>
        <v>0.330000127235482</v>
      </c>
    </row>
    <row r="234" spans="1:21" x14ac:dyDescent="0.3">
      <c r="A234">
        <v>10233</v>
      </c>
      <c r="B234" t="s">
        <v>162</v>
      </c>
      <c r="C234" t="s">
        <v>91</v>
      </c>
      <c r="D234" t="s">
        <v>30</v>
      </c>
      <c r="E234">
        <v>39</v>
      </c>
      <c r="F234" t="s">
        <v>119</v>
      </c>
      <c r="G234" t="s">
        <v>22</v>
      </c>
      <c r="H234" t="s">
        <v>23</v>
      </c>
      <c r="I234" t="s">
        <v>24</v>
      </c>
      <c r="J234">
        <v>15</v>
      </c>
      <c r="K234" s="1">
        <v>45990</v>
      </c>
      <c r="L234" s="1">
        <v>45998</v>
      </c>
      <c r="M234" t="s">
        <v>66</v>
      </c>
      <c r="N234" t="s">
        <v>26</v>
      </c>
      <c r="O234">
        <v>77562.78</v>
      </c>
      <c r="P234">
        <v>63601.48</v>
      </c>
      <c r="Q234">
        <v>13961.3</v>
      </c>
      <c r="R234" t="s">
        <v>32</v>
      </c>
      <c r="S234">
        <f t="shared" si="9"/>
        <v>8</v>
      </c>
      <c r="T234" s="2">
        <f t="shared" si="10"/>
        <v>0.8200000051571128</v>
      </c>
      <c r="U234" s="2">
        <f t="shared" si="11"/>
        <v>0.17999999484288726</v>
      </c>
    </row>
    <row r="235" spans="1:21" x14ac:dyDescent="0.3">
      <c r="A235">
        <v>10234</v>
      </c>
      <c r="B235" t="s">
        <v>158</v>
      </c>
      <c r="C235" t="s">
        <v>159</v>
      </c>
      <c r="D235" t="s">
        <v>30</v>
      </c>
      <c r="E235">
        <v>18</v>
      </c>
      <c r="F235" t="s">
        <v>35</v>
      </c>
      <c r="G235" t="s">
        <v>55</v>
      </c>
      <c r="H235" t="s">
        <v>56</v>
      </c>
      <c r="I235" t="s">
        <v>49</v>
      </c>
      <c r="J235">
        <v>10</v>
      </c>
      <c r="K235" s="1">
        <v>45689</v>
      </c>
      <c r="L235" s="1">
        <v>45703</v>
      </c>
      <c r="M235" t="s">
        <v>50</v>
      </c>
      <c r="N235" t="s">
        <v>26</v>
      </c>
      <c r="O235">
        <v>221484.17</v>
      </c>
      <c r="P235">
        <v>186046.7</v>
      </c>
      <c r="Q235">
        <v>35437.47</v>
      </c>
      <c r="R235" t="s">
        <v>32</v>
      </c>
      <c r="S235">
        <f t="shared" si="9"/>
        <v>14</v>
      </c>
      <c r="T235" s="2">
        <f t="shared" si="10"/>
        <v>0.83999998735801296</v>
      </c>
      <c r="U235" s="2">
        <f t="shared" si="11"/>
        <v>0.16000001264198702</v>
      </c>
    </row>
    <row r="236" spans="1:21" x14ac:dyDescent="0.3">
      <c r="A236">
        <v>10235</v>
      </c>
      <c r="B236" t="s">
        <v>106</v>
      </c>
      <c r="C236" t="s">
        <v>107</v>
      </c>
      <c r="D236" t="s">
        <v>30</v>
      </c>
      <c r="E236">
        <v>37</v>
      </c>
      <c r="F236" t="s">
        <v>31</v>
      </c>
      <c r="G236" t="s">
        <v>41</v>
      </c>
      <c r="H236" t="s">
        <v>42</v>
      </c>
      <c r="I236" t="s">
        <v>43</v>
      </c>
      <c r="J236">
        <v>9</v>
      </c>
      <c r="K236" s="1">
        <v>45835</v>
      </c>
      <c r="L236" s="1">
        <v>45843</v>
      </c>
      <c r="M236" t="s">
        <v>72</v>
      </c>
      <c r="N236" t="s">
        <v>26</v>
      </c>
      <c r="O236">
        <v>18314.78</v>
      </c>
      <c r="P236">
        <v>12820.35</v>
      </c>
      <c r="Q236">
        <v>5494.43</v>
      </c>
      <c r="R236" t="s">
        <v>32</v>
      </c>
      <c r="S236">
        <f t="shared" si="9"/>
        <v>8</v>
      </c>
      <c r="T236" s="2">
        <f t="shared" si="10"/>
        <v>0.70000021840284188</v>
      </c>
      <c r="U236" s="2">
        <f t="shared" si="11"/>
        <v>0.29999978159715818</v>
      </c>
    </row>
    <row r="237" spans="1:21" x14ac:dyDescent="0.3">
      <c r="A237">
        <v>10236</v>
      </c>
      <c r="B237" t="s">
        <v>82</v>
      </c>
      <c r="C237" t="s">
        <v>83</v>
      </c>
      <c r="D237" t="s">
        <v>20</v>
      </c>
      <c r="E237">
        <v>74</v>
      </c>
      <c r="F237" t="s">
        <v>84</v>
      </c>
      <c r="G237" t="s">
        <v>36</v>
      </c>
      <c r="H237" t="s">
        <v>37</v>
      </c>
      <c r="I237" t="s">
        <v>24</v>
      </c>
      <c r="J237">
        <v>12</v>
      </c>
      <c r="K237" s="1">
        <v>45911</v>
      </c>
      <c r="L237" s="1">
        <v>45917</v>
      </c>
      <c r="M237" t="s">
        <v>25</v>
      </c>
      <c r="N237" t="s">
        <v>26</v>
      </c>
      <c r="O237">
        <v>126700.94</v>
      </c>
      <c r="P237">
        <v>77287.570000000007</v>
      </c>
      <c r="Q237">
        <v>49413.37</v>
      </c>
      <c r="R237" t="s">
        <v>32</v>
      </c>
      <c r="S237">
        <f t="shared" si="9"/>
        <v>6</v>
      </c>
      <c r="T237" s="2">
        <f t="shared" si="10"/>
        <v>0.60999997316515575</v>
      </c>
      <c r="U237" s="2">
        <f t="shared" si="11"/>
        <v>0.39000002683484436</v>
      </c>
    </row>
    <row r="238" spans="1:21" x14ac:dyDescent="0.3">
      <c r="A238">
        <v>10237</v>
      </c>
      <c r="B238" t="s">
        <v>152</v>
      </c>
      <c r="C238" t="s">
        <v>153</v>
      </c>
      <c r="D238" t="s">
        <v>20</v>
      </c>
      <c r="E238">
        <v>27</v>
      </c>
      <c r="F238" t="s">
        <v>59</v>
      </c>
      <c r="G238" t="s">
        <v>47</v>
      </c>
      <c r="H238" t="s">
        <v>48</v>
      </c>
      <c r="I238" t="s">
        <v>49</v>
      </c>
      <c r="J238">
        <v>8</v>
      </c>
      <c r="K238" s="1">
        <v>45835</v>
      </c>
      <c r="L238" s="1">
        <v>45847</v>
      </c>
      <c r="M238" t="s">
        <v>101</v>
      </c>
      <c r="N238" t="s">
        <v>26</v>
      </c>
      <c r="O238">
        <v>44365.82</v>
      </c>
      <c r="P238">
        <v>32830.71</v>
      </c>
      <c r="Q238">
        <v>11535.11</v>
      </c>
      <c r="R238" t="s">
        <v>27</v>
      </c>
      <c r="S238">
        <f t="shared" si="9"/>
        <v>12</v>
      </c>
      <c r="T238" s="2">
        <f t="shared" si="10"/>
        <v>0.74000007212759733</v>
      </c>
      <c r="U238" s="2">
        <f t="shared" si="11"/>
        <v>0.25999992787240267</v>
      </c>
    </row>
    <row r="239" spans="1:21" x14ac:dyDescent="0.3">
      <c r="A239">
        <v>10238</v>
      </c>
      <c r="B239" t="s">
        <v>150</v>
      </c>
      <c r="C239" t="s">
        <v>151</v>
      </c>
      <c r="D239" t="s">
        <v>30</v>
      </c>
      <c r="E239">
        <v>47</v>
      </c>
      <c r="F239" t="s">
        <v>54</v>
      </c>
      <c r="G239" t="s">
        <v>88</v>
      </c>
      <c r="H239" t="s">
        <v>89</v>
      </c>
      <c r="I239" t="s">
        <v>62</v>
      </c>
      <c r="J239">
        <v>14</v>
      </c>
      <c r="K239" s="1">
        <v>45809</v>
      </c>
      <c r="L239" s="1">
        <v>45822</v>
      </c>
      <c r="M239" t="s">
        <v>96</v>
      </c>
      <c r="N239" t="s">
        <v>51</v>
      </c>
      <c r="O239">
        <v>94452.43</v>
      </c>
      <c r="P239">
        <v>70839.320000000007</v>
      </c>
      <c r="Q239">
        <v>23613.11</v>
      </c>
      <c r="R239" t="s">
        <v>27</v>
      </c>
      <c r="S239">
        <f t="shared" si="9"/>
        <v>13</v>
      </c>
      <c r="T239" s="2">
        <f t="shared" si="10"/>
        <v>0.74999997353164982</v>
      </c>
      <c r="U239" s="2">
        <f t="shared" si="11"/>
        <v>0.25000002646835029</v>
      </c>
    </row>
    <row r="240" spans="1:21" x14ac:dyDescent="0.3">
      <c r="A240">
        <v>10239</v>
      </c>
      <c r="B240" t="s">
        <v>78</v>
      </c>
      <c r="C240" t="s">
        <v>79</v>
      </c>
      <c r="D240" t="s">
        <v>20</v>
      </c>
      <c r="E240">
        <v>67</v>
      </c>
      <c r="F240" t="s">
        <v>35</v>
      </c>
      <c r="G240" t="s">
        <v>41</v>
      </c>
      <c r="H240" t="s">
        <v>42</v>
      </c>
      <c r="I240" t="s">
        <v>43</v>
      </c>
      <c r="J240">
        <v>9</v>
      </c>
      <c r="K240" s="1">
        <v>45867</v>
      </c>
      <c r="L240" s="1">
        <v>45874</v>
      </c>
      <c r="M240" t="s">
        <v>44</v>
      </c>
      <c r="N240" t="s">
        <v>51</v>
      </c>
      <c r="O240">
        <v>25064.19</v>
      </c>
      <c r="P240">
        <v>20803.28</v>
      </c>
      <c r="Q240">
        <v>4260.91</v>
      </c>
      <c r="R240" t="s">
        <v>27</v>
      </c>
      <c r="S240">
        <f t="shared" si="9"/>
        <v>7</v>
      </c>
      <c r="T240" s="2">
        <f t="shared" si="10"/>
        <v>0.83000009176438572</v>
      </c>
      <c r="U240" s="2">
        <f t="shared" si="11"/>
        <v>0.16999990823561423</v>
      </c>
    </row>
    <row r="241" spans="1:21" x14ac:dyDescent="0.3">
      <c r="A241">
        <v>10240</v>
      </c>
      <c r="B241" t="s">
        <v>92</v>
      </c>
      <c r="C241" t="s">
        <v>93</v>
      </c>
      <c r="D241" t="s">
        <v>20</v>
      </c>
      <c r="E241">
        <v>40</v>
      </c>
      <c r="F241" t="s">
        <v>54</v>
      </c>
      <c r="G241" t="s">
        <v>47</v>
      </c>
      <c r="H241" t="s">
        <v>48</v>
      </c>
      <c r="I241" t="s">
        <v>49</v>
      </c>
      <c r="J241">
        <v>8</v>
      </c>
      <c r="K241" s="1">
        <v>45754</v>
      </c>
      <c r="L241" s="1">
        <v>45767</v>
      </c>
      <c r="M241" t="s">
        <v>101</v>
      </c>
      <c r="N241" t="s">
        <v>26</v>
      </c>
      <c r="O241">
        <v>37375.07</v>
      </c>
      <c r="P241">
        <v>24667.55</v>
      </c>
      <c r="Q241">
        <v>12707.52</v>
      </c>
      <c r="R241" t="s">
        <v>32</v>
      </c>
      <c r="S241">
        <f t="shared" si="9"/>
        <v>13</v>
      </c>
      <c r="T241" s="2">
        <f t="shared" si="10"/>
        <v>0.66000010167205037</v>
      </c>
      <c r="U241" s="2">
        <f t="shared" si="11"/>
        <v>0.33999989832794963</v>
      </c>
    </row>
    <row r="242" spans="1:21" x14ac:dyDescent="0.3">
      <c r="A242">
        <v>10241</v>
      </c>
      <c r="B242" t="s">
        <v>86</v>
      </c>
      <c r="C242" t="s">
        <v>87</v>
      </c>
      <c r="D242" t="s">
        <v>30</v>
      </c>
      <c r="E242">
        <v>23</v>
      </c>
      <c r="F242" t="s">
        <v>31</v>
      </c>
      <c r="G242" t="s">
        <v>55</v>
      </c>
      <c r="H242" t="s">
        <v>56</v>
      </c>
      <c r="I242" t="s">
        <v>49</v>
      </c>
      <c r="J242">
        <v>10</v>
      </c>
      <c r="K242" s="1">
        <v>45816</v>
      </c>
      <c r="L242" s="1">
        <v>45828</v>
      </c>
      <c r="M242" t="s">
        <v>85</v>
      </c>
      <c r="N242" t="s">
        <v>26</v>
      </c>
      <c r="O242">
        <v>99034.02</v>
      </c>
      <c r="P242">
        <v>66352.789999999994</v>
      </c>
      <c r="Q242">
        <v>32681.23</v>
      </c>
      <c r="R242" t="s">
        <v>32</v>
      </c>
      <c r="S242">
        <f t="shared" si="9"/>
        <v>12</v>
      </c>
      <c r="T242" s="2">
        <f t="shared" si="10"/>
        <v>0.66999996566836317</v>
      </c>
      <c r="U242" s="2">
        <f t="shared" si="11"/>
        <v>0.33000003433163672</v>
      </c>
    </row>
    <row r="243" spans="1:21" x14ac:dyDescent="0.3">
      <c r="A243">
        <v>10242</v>
      </c>
      <c r="B243" t="s">
        <v>106</v>
      </c>
      <c r="C243" t="s">
        <v>107</v>
      </c>
      <c r="D243" t="s">
        <v>30</v>
      </c>
      <c r="E243">
        <v>37</v>
      </c>
      <c r="F243" t="s">
        <v>31</v>
      </c>
      <c r="G243" t="s">
        <v>55</v>
      </c>
      <c r="H243" t="s">
        <v>56</v>
      </c>
      <c r="I243" t="s">
        <v>49</v>
      </c>
      <c r="J243">
        <v>10</v>
      </c>
      <c r="K243" s="1">
        <v>45942</v>
      </c>
      <c r="L243" s="1">
        <v>45951</v>
      </c>
      <c r="M243" t="s">
        <v>50</v>
      </c>
      <c r="N243" t="s">
        <v>26</v>
      </c>
      <c r="O243">
        <v>371898.75</v>
      </c>
      <c r="P243">
        <v>230577.23</v>
      </c>
      <c r="Q243">
        <v>141321.51999999999</v>
      </c>
      <c r="R243" t="s">
        <v>32</v>
      </c>
      <c r="S243">
        <f t="shared" si="9"/>
        <v>9</v>
      </c>
      <c r="T243" s="2">
        <f t="shared" si="10"/>
        <v>0.62000001344451949</v>
      </c>
      <c r="U243" s="2">
        <f t="shared" si="11"/>
        <v>0.37999998655548045</v>
      </c>
    </row>
    <row r="244" spans="1:21" x14ac:dyDescent="0.3">
      <c r="A244">
        <v>10243</v>
      </c>
      <c r="B244" t="s">
        <v>137</v>
      </c>
      <c r="C244" t="s">
        <v>138</v>
      </c>
      <c r="D244" t="s">
        <v>30</v>
      </c>
      <c r="E244">
        <v>56</v>
      </c>
      <c r="F244" t="s">
        <v>59</v>
      </c>
      <c r="G244" t="s">
        <v>60</v>
      </c>
      <c r="H244" t="s">
        <v>61</v>
      </c>
      <c r="I244" t="s">
        <v>62</v>
      </c>
      <c r="J244">
        <v>18</v>
      </c>
      <c r="K244" s="1">
        <v>45944</v>
      </c>
      <c r="L244" s="1">
        <v>45955</v>
      </c>
      <c r="M244" t="s">
        <v>77</v>
      </c>
      <c r="N244" t="s">
        <v>26</v>
      </c>
      <c r="O244">
        <v>65351.39</v>
      </c>
      <c r="P244">
        <v>52281.11</v>
      </c>
      <c r="Q244">
        <v>13070.28</v>
      </c>
      <c r="R244" t="s">
        <v>32</v>
      </c>
      <c r="S244">
        <f t="shared" si="9"/>
        <v>11</v>
      </c>
      <c r="T244" s="2">
        <f t="shared" si="10"/>
        <v>0.79999996939621332</v>
      </c>
      <c r="U244" s="2">
        <f t="shared" si="11"/>
        <v>0.20000003060378671</v>
      </c>
    </row>
    <row r="245" spans="1:21" x14ac:dyDescent="0.3">
      <c r="A245">
        <v>10244</v>
      </c>
      <c r="B245" t="s">
        <v>120</v>
      </c>
      <c r="C245" t="s">
        <v>74</v>
      </c>
      <c r="D245" t="s">
        <v>20</v>
      </c>
      <c r="E245">
        <v>61</v>
      </c>
      <c r="F245" t="s">
        <v>69</v>
      </c>
      <c r="G245" t="s">
        <v>88</v>
      </c>
      <c r="H245" t="s">
        <v>89</v>
      </c>
      <c r="I245" t="s">
        <v>62</v>
      </c>
      <c r="J245">
        <v>14</v>
      </c>
      <c r="K245" s="1">
        <v>45783</v>
      </c>
      <c r="L245" s="1">
        <v>45792</v>
      </c>
      <c r="M245" t="s">
        <v>63</v>
      </c>
      <c r="N245" t="s">
        <v>51</v>
      </c>
      <c r="O245">
        <v>42966.48</v>
      </c>
      <c r="P245">
        <v>30935.87</v>
      </c>
      <c r="Q245">
        <v>12030.61</v>
      </c>
      <c r="R245" t="s">
        <v>32</v>
      </c>
      <c r="S245">
        <f t="shared" si="9"/>
        <v>9</v>
      </c>
      <c r="T245" s="2">
        <f t="shared" si="10"/>
        <v>0.7200001024054099</v>
      </c>
      <c r="U245" s="2">
        <f t="shared" si="11"/>
        <v>0.27999989759458999</v>
      </c>
    </row>
    <row r="246" spans="1:21" x14ac:dyDescent="0.3">
      <c r="A246">
        <v>10245</v>
      </c>
      <c r="B246" t="s">
        <v>78</v>
      </c>
      <c r="C246" t="s">
        <v>79</v>
      </c>
      <c r="D246" t="s">
        <v>20</v>
      </c>
      <c r="E246">
        <v>67</v>
      </c>
      <c r="F246" t="s">
        <v>35</v>
      </c>
      <c r="G246" t="s">
        <v>88</v>
      </c>
      <c r="H246" t="s">
        <v>89</v>
      </c>
      <c r="I246" t="s">
        <v>62</v>
      </c>
      <c r="J246">
        <v>14</v>
      </c>
      <c r="K246" s="1">
        <v>45977</v>
      </c>
      <c r="L246" s="1">
        <v>45987</v>
      </c>
      <c r="M246" t="s">
        <v>77</v>
      </c>
      <c r="N246" t="s">
        <v>51</v>
      </c>
      <c r="O246">
        <v>62492.11</v>
      </c>
      <c r="P246">
        <v>40619.870000000003</v>
      </c>
      <c r="Q246">
        <v>21872.240000000002</v>
      </c>
      <c r="R246" t="s">
        <v>32</v>
      </c>
      <c r="S246">
        <f t="shared" si="9"/>
        <v>10</v>
      </c>
      <c r="T246" s="2">
        <f t="shared" si="10"/>
        <v>0.6499999759969699</v>
      </c>
      <c r="U246" s="2">
        <f t="shared" si="11"/>
        <v>0.35000002400303015</v>
      </c>
    </row>
    <row r="247" spans="1:21" x14ac:dyDescent="0.3">
      <c r="A247">
        <v>10246</v>
      </c>
      <c r="B247" t="s">
        <v>57</v>
      </c>
      <c r="C247" t="s">
        <v>58</v>
      </c>
      <c r="D247" t="s">
        <v>20</v>
      </c>
      <c r="E247">
        <v>45</v>
      </c>
      <c r="F247" t="s">
        <v>59</v>
      </c>
      <c r="G247" t="s">
        <v>41</v>
      </c>
      <c r="H247" t="s">
        <v>42</v>
      </c>
      <c r="I247" t="s">
        <v>43</v>
      </c>
      <c r="J247">
        <v>9</v>
      </c>
      <c r="K247" s="1">
        <v>45928</v>
      </c>
      <c r="L247" s="1">
        <v>45935</v>
      </c>
      <c r="M247" t="s">
        <v>44</v>
      </c>
      <c r="N247" t="s">
        <v>26</v>
      </c>
      <c r="O247">
        <v>16884.740000000002</v>
      </c>
      <c r="P247">
        <v>14014.33</v>
      </c>
      <c r="Q247">
        <v>2870.41</v>
      </c>
      <c r="R247" t="s">
        <v>32</v>
      </c>
      <c r="S247">
        <f t="shared" si="9"/>
        <v>7</v>
      </c>
      <c r="T247" s="2">
        <f t="shared" si="10"/>
        <v>0.82999975125468317</v>
      </c>
      <c r="U247" s="2">
        <f t="shared" si="11"/>
        <v>0.17000024874531675</v>
      </c>
    </row>
    <row r="248" spans="1:21" x14ac:dyDescent="0.3">
      <c r="A248">
        <v>10247</v>
      </c>
      <c r="B248" t="s">
        <v>90</v>
      </c>
      <c r="C248" t="s">
        <v>91</v>
      </c>
      <c r="D248" t="s">
        <v>20</v>
      </c>
      <c r="E248">
        <v>48</v>
      </c>
      <c r="F248" t="s">
        <v>84</v>
      </c>
      <c r="G248" t="s">
        <v>88</v>
      </c>
      <c r="H248" t="s">
        <v>89</v>
      </c>
      <c r="I248" t="s">
        <v>62</v>
      </c>
      <c r="J248">
        <v>14</v>
      </c>
      <c r="K248" s="1">
        <v>46007</v>
      </c>
      <c r="L248" s="1">
        <v>46015</v>
      </c>
      <c r="M248" t="s">
        <v>77</v>
      </c>
      <c r="N248" t="s">
        <v>51</v>
      </c>
      <c r="O248">
        <v>81525.679999999993</v>
      </c>
      <c r="P248">
        <v>56252.72</v>
      </c>
      <c r="Q248">
        <v>25272.959999999999</v>
      </c>
      <c r="R248" t="s">
        <v>27</v>
      </c>
      <c r="S248">
        <f t="shared" si="9"/>
        <v>8</v>
      </c>
      <c r="T248" s="2">
        <f t="shared" si="10"/>
        <v>0.69000000981285903</v>
      </c>
      <c r="U248" s="2">
        <f t="shared" si="11"/>
        <v>0.30999999018714103</v>
      </c>
    </row>
    <row r="249" spans="1:21" x14ac:dyDescent="0.3">
      <c r="A249">
        <v>10248</v>
      </c>
      <c r="B249" t="s">
        <v>108</v>
      </c>
      <c r="C249" t="s">
        <v>109</v>
      </c>
      <c r="D249" t="s">
        <v>20</v>
      </c>
      <c r="E249">
        <v>34</v>
      </c>
      <c r="F249" t="s">
        <v>40</v>
      </c>
      <c r="G249" t="s">
        <v>60</v>
      </c>
      <c r="H249" t="s">
        <v>61</v>
      </c>
      <c r="I249" t="s">
        <v>62</v>
      </c>
      <c r="J249">
        <v>18</v>
      </c>
      <c r="K249" s="1">
        <v>45720</v>
      </c>
      <c r="L249" s="1">
        <v>45731</v>
      </c>
      <c r="M249" t="s">
        <v>63</v>
      </c>
      <c r="N249" t="s">
        <v>51</v>
      </c>
      <c r="O249">
        <v>41273.26</v>
      </c>
      <c r="P249">
        <v>25589.42</v>
      </c>
      <c r="Q249">
        <v>15683.84</v>
      </c>
      <c r="R249" t="s">
        <v>32</v>
      </c>
      <c r="S249">
        <f t="shared" si="9"/>
        <v>11</v>
      </c>
      <c r="T249" s="2">
        <f t="shared" si="10"/>
        <v>0.61999997092548531</v>
      </c>
      <c r="U249" s="2">
        <f t="shared" si="11"/>
        <v>0.38000002907451458</v>
      </c>
    </row>
    <row r="250" spans="1:21" x14ac:dyDescent="0.3">
      <c r="A250">
        <v>10249</v>
      </c>
      <c r="B250" t="s">
        <v>115</v>
      </c>
      <c r="C250" t="s">
        <v>116</v>
      </c>
      <c r="D250" t="s">
        <v>30</v>
      </c>
      <c r="E250">
        <v>18</v>
      </c>
      <c r="F250" t="s">
        <v>31</v>
      </c>
      <c r="G250" t="s">
        <v>36</v>
      </c>
      <c r="H250" t="s">
        <v>37</v>
      </c>
      <c r="I250" t="s">
        <v>24</v>
      </c>
      <c r="J250">
        <v>12</v>
      </c>
      <c r="K250" s="1">
        <v>45788</v>
      </c>
      <c r="L250" s="1">
        <v>45797</v>
      </c>
      <c r="M250" t="s">
        <v>25</v>
      </c>
      <c r="N250" t="s">
        <v>51</v>
      </c>
      <c r="O250">
        <v>104118.52</v>
      </c>
      <c r="P250">
        <v>85377.19</v>
      </c>
      <c r="Q250">
        <v>18741.330000000002</v>
      </c>
      <c r="R250" t="s">
        <v>32</v>
      </c>
      <c r="S250">
        <f t="shared" si="9"/>
        <v>9</v>
      </c>
      <c r="T250" s="2">
        <f t="shared" si="10"/>
        <v>0.82000003457598125</v>
      </c>
      <c r="U250" s="2">
        <f t="shared" si="11"/>
        <v>0.17999996542401872</v>
      </c>
    </row>
    <row r="251" spans="1:21" x14ac:dyDescent="0.3">
      <c r="A251">
        <v>10250</v>
      </c>
      <c r="B251" t="s">
        <v>102</v>
      </c>
      <c r="C251" t="s">
        <v>103</v>
      </c>
      <c r="D251" t="s">
        <v>30</v>
      </c>
      <c r="E251">
        <v>59</v>
      </c>
      <c r="F251" t="s">
        <v>75</v>
      </c>
      <c r="G251" t="s">
        <v>22</v>
      </c>
      <c r="H251" t="s">
        <v>23</v>
      </c>
      <c r="I251" t="s">
        <v>24</v>
      </c>
      <c r="J251">
        <v>15</v>
      </c>
      <c r="K251" s="1">
        <v>45775</v>
      </c>
      <c r="L251" s="1">
        <v>45787</v>
      </c>
      <c r="M251" t="s">
        <v>76</v>
      </c>
      <c r="N251" t="s">
        <v>26</v>
      </c>
      <c r="O251">
        <v>277621.32</v>
      </c>
      <c r="P251">
        <v>216544.63</v>
      </c>
      <c r="Q251">
        <v>61076.69</v>
      </c>
      <c r="R251" t="s">
        <v>32</v>
      </c>
      <c r="S251">
        <f t="shared" si="9"/>
        <v>12</v>
      </c>
      <c r="T251" s="2">
        <f t="shared" si="10"/>
        <v>0.7800000014408115</v>
      </c>
      <c r="U251" s="2">
        <f t="shared" si="11"/>
        <v>0.21999999855918848</v>
      </c>
    </row>
    <row r="252" spans="1:21" x14ac:dyDescent="0.3">
      <c r="A252">
        <v>10251</v>
      </c>
      <c r="B252" t="s">
        <v>113</v>
      </c>
      <c r="C252" t="s">
        <v>114</v>
      </c>
      <c r="D252" t="s">
        <v>30</v>
      </c>
      <c r="E252">
        <v>33</v>
      </c>
      <c r="F252" t="s">
        <v>59</v>
      </c>
      <c r="G252" t="s">
        <v>22</v>
      </c>
      <c r="H252" t="s">
        <v>23</v>
      </c>
      <c r="I252" t="s">
        <v>24</v>
      </c>
      <c r="J252">
        <v>15</v>
      </c>
      <c r="K252" s="1">
        <v>45999</v>
      </c>
      <c r="L252" s="1">
        <v>46009</v>
      </c>
      <c r="M252" t="s">
        <v>25</v>
      </c>
      <c r="N252" t="s">
        <v>26</v>
      </c>
      <c r="O252">
        <v>173245.11</v>
      </c>
      <c r="P252">
        <v>129933.83</v>
      </c>
      <c r="Q252">
        <v>43311.28</v>
      </c>
      <c r="R252" t="s">
        <v>27</v>
      </c>
      <c r="S252">
        <f t="shared" si="9"/>
        <v>10</v>
      </c>
      <c r="T252" s="2">
        <f t="shared" si="10"/>
        <v>0.74999998556957836</v>
      </c>
      <c r="U252" s="2">
        <f t="shared" si="11"/>
        <v>0.25000001443042175</v>
      </c>
    </row>
    <row r="253" spans="1:21" x14ac:dyDescent="0.3">
      <c r="A253">
        <v>10252</v>
      </c>
      <c r="B253" t="s">
        <v>67</v>
      </c>
      <c r="C253" t="s">
        <v>68</v>
      </c>
      <c r="D253" t="s">
        <v>20</v>
      </c>
      <c r="E253">
        <v>33</v>
      </c>
      <c r="F253" t="s">
        <v>69</v>
      </c>
      <c r="G253" t="s">
        <v>22</v>
      </c>
      <c r="H253" t="s">
        <v>23</v>
      </c>
      <c r="I253" t="s">
        <v>24</v>
      </c>
      <c r="J253">
        <v>15</v>
      </c>
      <c r="K253" s="1">
        <v>45702</v>
      </c>
      <c r="L253" s="1">
        <v>45712</v>
      </c>
      <c r="M253" t="s">
        <v>66</v>
      </c>
      <c r="N253" t="s">
        <v>51</v>
      </c>
      <c r="O253">
        <v>47066.51</v>
      </c>
      <c r="P253">
        <v>35299.879999999997</v>
      </c>
      <c r="Q253">
        <v>11766.63</v>
      </c>
      <c r="R253" t="s">
        <v>32</v>
      </c>
      <c r="S253">
        <f t="shared" si="9"/>
        <v>10</v>
      </c>
      <c r="T253" s="2">
        <f t="shared" si="10"/>
        <v>0.74999994688367577</v>
      </c>
      <c r="U253" s="2">
        <f t="shared" si="11"/>
        <v>0.25000005311632406</v>
      </c>
    </row>
    <row r="254" spans="1:21" x14ac:dyDescent="0.3">
      <c r="A254">
        <v>10253</v>
      </c>
      <c r="B254" t="s">
        <v>127</v>
      </c>
      <c r="C254" t="s">
        <v>128</v>
      </c>
      <c r="D254" t="s">
        <v>20</v>
      </c>
      <c r="E254">
        <v>41</v>
      </c>
      <c r="F254" t="s">
        <v>54</v>
      </c>
      <c r="G254" t="s">
        <v>60</v>
      </c>
      <c r="H254" t="s">
        <v>61</v>
      </c>
      <c r="I254" t="s">
        <v>62</v>
      </c>
      <c r="J254">
        <v>18</v>
      </c>
      <c r="K254" s="1">
        <v>45745</v>
      </c>
      <c r="L254" s="1">
        <v>45757</v>
      </c>
      <c r="M254" t="s">
        <v>63</v>
      </c>
      <c r="N254" t="s">
        <v>26</v>
      </c>
      <c r="O254">
        <v>31575.16</v>
      </c>
      <c r="P254">
        <v>24628.62</v>
      </c>
      <c r="Q254">
        <v>6946.54</v>
      </c>
      <c r="R254" t="s">
        <v>32</v>
      </c>
      <c r="S254">
        <f t="shared" si="9"/>
        <v>12</v>
      </c>
      <c r="T254" s="2">
        <f t="shared" si="10"/>
        <v>0.77999984798176791</v>
      </c>
      <c r="U254" s="2">
        <f t="shared" si="11"/>
        <v>0.22000015201823206</v>
      </c>
    </row>
    <row r="255" spans="1:21" x14ac:dyDescent="0.3">
      <c r="A255">
        <v>10254</v>
      </c>
      <c r="B255" t="s">
        <v>97</v>
      </c>
      <c r="C255" t="s">
        <v>98</v>
      </c>
      <c r="D255" t="s">
        <v>20</v>
      </c>
      <c r="E255">
        <v>43</v>
      </c>
      <c r="F255" t="s">
        <v>69</v>
      </c>
      <c r="G255" t="s">
        <v>55</v>
      </c>
      <c r="H255" t="s">
        <v>56</v>
      </c>
      <c r="I255" t="s">
        <v>49</v>
      </c>
      <c r="J255">
        <v>10</v>
      </c>
      <c r="K255" s="1">
        <v>45798</v>
      </c>
      <c r="L255" s="1">
        <v>45806</v>
      </c>
      <c r="M255" t="s">
        <v>101</v>
      </c>
      <c r="N255" t="s">
        <v>26</v>
      </c>
      <c r="O255">
        <v>30128.84</v>
      </c>
      <c r="P255">
        <v>22295.34</v>
      </c>
      <c r="Q255">
        <v>7833.5</v>
      </c>
      <c r="R255" t="s">
        <v>32</v>
      </c>
      <c r="S255">
        <f t="shared" si="9"/>
        <v>8</v>
      </c>
      <c r="T255" s="2">
        <f t="shared" si="10"/>
        <v>0.73999994689473603</v>
      </c>
      <c r="U255" s="2">
        <f t="shared" si="11"/>
        <v>0.26000005310526392</v>
      </c>
    </row>
    <row r="256" spans="1:21" x14ac:dyDescent="0.3">
      <c r="A256">
        <v>10255</v>
      </c>
      <c r="B256" t="s">
        <v>160</v>
      </c>
      <c r="C256" t="s">
        <v>161</v>
      </c>
      <c r="D256" t="s">
        <v>20</v>
      </c>
      <c r="E256">
        <v>18</v>
      </c>
      <c r="F256" t="s">
        <v>54</v>
      </c>
      <c r="G256" t="s">
        <v>47</v>
      </c>
      <c r="H256" t="s">
        <v>48</v>
      </c>
      <c r="I256" t="s">
        <v>49</v>
      </c>
      <c r="J256">
        <v>8</v>
      </c>
      <c r="K256" s="1">
        <v>46008</v>
      </c>
      <c r="L256" s="1">
        <v>46012</v>
      </c>
      <c r="M256" t="s">
        <v>85</v>
      </c>
      <c r="N256" t="s">
        <v>26</v>
      </c>
      <c r="O256">
        <v>113137.56</v>
      </c>
      <c r="P256">
        <v>80327.67</v>
      </c>
      <c r="Q256">
        <v>32809.89</v>
      </c>
      <c r="R256" t="s">
        <v>32</v>
      </c>
      <c r="S256">
        <f t="shared" si="9"/>
        <v>4</v>
      </c>
      <c r="T256" s="2">
        <f t="shared" si="10"/>
        <v>0.71000002121311434</v>
      </c>
      <c r="U256" s="2">
        <f t="shared" si="11"/>
        <v>0.2899999787868856</v>
      </c>
    </row>
    <row r="257" spans="1:21" x14ac:dyDescent="0.3">
      <c r="A257">
        <v>10256</v>
      </c>
      <c r="B257" t="s">
        <v>143</v>
      </c>
      <c r="C257" t="s">
        <v>74</v>
      </c>
      <c r="D257" t="s">
        <v>20</v>
      </c>
      <c r="E257">
        <v>35</v>
      </c>
      <c r="F257" t="s">
        <v>119</v>
      </c>
      <c r="G257" t="s">
        <v>47</v>
      </c>
      <c r="H257" t="s">
        <v>48</v>
      </c>
      <c r="I257" t="s">
        <v>49</v>
      </c>
      <c r="J257">
        <v>8</v>
      </c>
      <c r="K257" s="1">
        <v>45786</v>
      </c>
      <c r="L257" s="1">
        <v>45788</v>
      </c>
      <c r="M257" t="s">
        <v>85</v>
      </c>
      <c r="N257" t="s">
        <v>26</v>
      </c>
      <c r="O257">
        <v>52236.639999999999</v>
      </c>
      <c r="P257">
        <v>42834.04</v>
      </c>
      <c r="Q257">
        <v>9402.6</v>
      </c>
      <c r="R257" t="s">
        <v>27</v>
      </c>
      <c r="S257">
        <f t="shared" si="9"/>
        <v>2</v>
      </c>
      <c r="T257" s="2">
        <f t="shared" si="10"/>
        <v>0.81999990811047574</v>
      </c>
      <c r="U257" s="2">
        <f t="shared" si="11"/>
        <v>0.18000009188952429</v>
      </c>
    </row>
    <row r="258" spans="1:21" x14ac:dyDescent="0.3">
      <c r="A258">
        <v>10257</v>
      </c>
      <c r="B258" t="s">
        <v>78</v>
      </c>
      <c r="C258" t="s">
        <v>79</v>
      </c>
      <c r="D258" t="s">
        <v>20</v>
      </c>
      <c r="E258">
        <v>67</v>
      </c>
      <c r="F258" t="s">
        <v>35</v>
      </c>
      <c r="G258" t="s">
        <v>55</v>
      </c>
      <c r="H258" t="s">
        <v>56</v>
      </c>
      <c r="I258" t="s">
        <v>49</v>
      </c>
      <c r="J258">
        <v>10</v>
      </c>
      <c r="K258" s="1">
        <v>45959</v>
      </c>
      <c r="L258" s="1">
        <v>45965</v>
      </c>
      <c r="M258" t="s">
        <v>85</v>
      </c>
      <c r="N258" t="s">
        <v>26</v>
      </c>
      <c r="O258">
        <v>63691.199999999997</v>
      </c>
      <c r="P258">
        <v>38214.720000000001</v>
      </c>
      <c r="Q258">
        <v>25476.48</v>
      </c>
      <c r="R258" t="s">
        <v>32</v>
      </c>
      <c r="S258">
        <f t="shared" si="9"/>
        <v>6</v>
      </c>
      <c r="T258" s="2">
        <f t="shared" si="10"/>
        <v>0.60000000000000009</v>
      </c>
      <c r="U258" s="2">
        <f t="shared" si="11"/>
        <v>0.4</v>
      </c>
    </row>
    <row r="259" spans="1:21" x14ac:dyDescent="0.3">
      <c r="A259">
        <v>10258</v>
      </c>
      <c r="B259" t="s">
        <v>154</v>
      </c>
      <c r="C259" t="s">
        <v>155</v>
      </c>
      <c r="D259" t="s">
        <v>30</v>
      </c>
      <c r="E259">
        <v>67</v>
      </c>
      <c r="F259" t="s">
        <v>119</v>
      </c>
      <c r="G259" t="s">
        <v>41</v>
      </c>
      <c r="H259" t="s">
        <v>42</v>
      </c>
      <c r="I259" t="s">
        <v>43</v>
      </c>
      <c r="J259">
        <v>9</v>
      </c>
      <c r="K259" s="1">
        <v>45942</v>
      </c>
      <c r="L259" s="1">
        <v>45956</v>
      </c>
      <c r="M259" t="s">
        <v>44</v>
      </c>
      <c r="N259" t="s">
        <v>26</v>
      </c>
      <c r="O259">
        <v>19343.91</v>
      </c>
      <c r="P259">
        <v>13927.62</v>
      </c>
      <c r="Q259">
        <v>5416.29</v>
      </c>
      <c r="R259" t="s">
        <v>32</v>
      </c>
      <c r="S259">
        <f t="shared" ref="S259:S322" si="12">L259-K259</f>
        <v>14</v>
      </c>
      <c r="T259" s="2">
        <f t="shared" ref="T259:T322" si="13">P259/O259</f>
        <v>0.72000024814011232</v>
      </c>
      <c r="U259" s="2">
        <f t="shared" ref="U259:U322" si="14">Q259/O259</f>
        <v>0.27999975185988768</v>
      </c>
    </row>
    <row r="260" spans="1:21" x14ac:dyDescent="0.3">
      <c r="A260">
        <v>10259</v>
      </c>
      <c r="B260" t="s">
        <v>80</v>
      </c>
      <c r="C260" t="s">
        <v>81</v>
      </c>
      <c r="D260" t="s">
        <v>20</v>
      </c>
      <c r="E260">
        <v>65</v>
      </c>
      <c r="F260" t="s">
        <v>40</v>
      </c>
      <c r="G260" t="s">
        <v>22</v>
      </c>
      <c r="H260" t="s">
        <v>23</v>
      </c>
      <c r="I260" t="s">
        <v>24</v>
      </c>
      <c r="J260">
        <v>15</v>
      </c>
      <c r="K260" s="1">
        <v>45703</v>
      </c>
      <c r="L260" s="1">
        <v>45710</v>
      </c>
      <c r="M260" t="s">
        <v>66</v>
      </c>
      <c r="N260" t="s">
        <v>51</v>
      </c>
      <c r="O260">
        <v>75931.240000000005</v>
      </c>
      <c r="P260">
        <v>55429.81</v>
      </c>
      <c r="Q260">
        <v>20501.43</v>
      </c>
      <c r="R260" t="s">
        <v>27</v>
      </c>
      <c r="S260">
        <f t="shared" si="12"/>
        <v>7</v>
      </c>
      <c r="T260" s="2">
        <f t="shared" si="13"/>
        <v>0.7300000632150877</v>
      </c>
      <c r="U260" s="2">
        <f t="shared" si="14"/>
        <v>0.26999993678491224</v>
      </c>
    </row>
    <row r="261" spans="1:21" x14ac:dyDescent="0.3">
      <c r="A261">
        <v>10260</v>
      </c>
      <c r="B261" t="s">
        <v>133</v>
      </c>
      <c r="C261" t="s">
        <v>134</v>
      </c>
      <c r="D261" t="s">
        <v>20</v>
      </c>
      <c r="E261">
        <v>56</v>
      </c>
      <c r="F261" t="s">
        <v>40</v>
      </c>
      <c r="G261" t="s">
        <v>22</v>
      </c>
      <c r="H261" t="s">
        <v>23</v>
      </c>
      <c r="I261" t="s">
        <v>24</v>
      </c>
      <c r="J261">
        <v>15</v>
      </c>
      <c r="K261" s="1">
        <v>45830</v>
      </c>
      <c r="L261" s="1">
        <v>45841</v>
      </c>
      <c r="M261" t="s">
        <v>66</v>
      </c>
      <c r="N261" t="s">
        <v>26</v>
      </c>
      <c r="O261">
        <v>33293.15</v>
      </c>
      <c r="P261">
        <v>27966.25</v>
      </c>
      <c r="Q261">
        <v>5326.9</v>
      </c>
      <c r="R261" t="s">
        <v>32</v>
      </c>
      <c r="S261">
        <f t="shared" si="12"/>
        <v>11</v>
      </c>
      <c r="T261" s="2">
        <f t="shared" si="13"/>
        <v>0.84000012014483461</v>
      </c>
      <c r="U261" s="2">
        <f t="shared" si="14"/>
        <v>0.15999987985516539</v>
      </c>
    </row>
    <row r="262" spans="1:21" x14ac:dyDescent="0.3">
      <c r="A262">
        <v>10261</v>
      </c>
      <c r="B262" t="s">
        <v>135</v>
      </c>
      <c r="C262" t="s">
        <v>136</v>
      </c>
      <c r="D262" t="s">
        <v>30</v>
      </c>
      <c r="E262">
        <v>52</v>
      </c>
      <c r="F262" t="s">
        <v>35</v>
      </c>
      <c r="G262" t="s">
        <v>60</v>
      </c>
      <c r="H262" t="s">
        <v>61</v>
      </c>
      <c r="I262" t="s">
        <v>62</v>
      </c>
      <c r="J262">
        <v>18</v>
      </c>
      <c r="K262" s="1">
        <v>45796</v>
      </c>
      <c r="L262" s="1">
        <v>45810</v>
      </c>
      <c r="M262" t="s">
        <v>63</v>
      </c>
      <c r="N262" t="s">
        <v>26</v>
      </c>
      <c r="O262">
        <v>22038.799999999999</v>
      </c>
      <c r="P262">
        <v>18071.82</v>
      </c>
      <c r="Q262">
        <v>3966.98</v>
      </c>
      <c r="R262" t="s">
        <v>32</v>
      </c>
      <c r="S262">
        <f t="shared" si="12"/>
        <v>14</v>
      </c>
      <c r="T262" s="2">
        <f t="shared" si="13"/>
        <v>0.82000018149808518</v>
      </c>
      <c r="U262" s="2">
        <f t="shared" si="14"/>
        <v>0.17999981850191482</v>
      </c>
    </row>
    <row r="263" spans="1:21" x14ac:dyDescent="0.3">
      <c r="A263">
        <v>10262</v>
      </c>
      <c r="B263" t="s">
        <v>102</v>
      </c>
      <c r="C263" t="s">
        <v>103</v>
      </c>
      <c r="D263" t="s">
        <v>30</v>
      </c>
      <c r="E263">
        <v>59</v>
      </c>
      <c r="F263" t="s">
        <v>75</v>
      </c>
      <c r="G263" t="s">
        <v>47</v>
      </c>
      <c r="H263" t="s">
        <v>48</v>
      </c>
      <c r="I263" t="s">
        <v>49</v>
      </c>
      <c r="J263">
        <v>8</v>
      </c>
      <c r="K263" s="1">
        <v>45766</v>
      </c>
      <c r="L263" s="1">
        <v>45769</v>
      </c>
      <c r="M263" t="s">
        <v>101</v>
      </c>
      <c r="N263" t="s">
        <v>26</v>
      </c>
      <c r="O263">
        <v>40483.980000000003</v>
      </c>
      <c r="P263">
        <v>33601.699999999997</v>
      </c>
      <c r="Q263">
        <v>6882.28</v>
      </c>
      <c r="R263" t="s">
        <v>32</v>
      </c>
      <c r="S263">
        <f t="shared" si="12"/>
        <v>3</v>
      </c>
      <c r="T263" s="2">
        <f t="shared" si="13"/>
        <v>0.8299999160161623</v>
      </c>
      <c r="U263" s="2">
        <f t="shared" si="14"/>
        <v>0.17000008398383754</v>
      </c>
    </row>
    <row r="264" spans="1:21" x14ac:dyDescent="0.3">
      <c r="A264">
        <v>10263</v>
      </c>
      <c r="B264" t="s">
        <v>73</v>
      </c>
      <c r="C264" t="s">
        <v>74</v>
      </c>
      <c r="D264" t="s">
        <v>20</v>
      </c>
      <c r="E264">
        <v>53</v>
      </c>
      <c r="F264" t="s">
        <v>75</v>
      </c>
      <c r="G264" t="s">
        <v>60</v>
      </c>
      <c r="H264" t="s">
        <v>61</v>
      </c>
      <c r="I264" t="s">
        <v>62</v>
      </c>
      <c r="J264">
        <v>18</v>
      </c>
      <c r="K264" s="1">
        <v>45959</v>
      </c>
      <c r="L264" s="1">
        <v>45963</v>
      </c>
      <c r="M264" t="s">
        <v>63</v>
      </c>
      <c r="N264" t="s">
        <v>26</v>
      </c>
      <c r="O264">
        <v>44586.89</v>
      </c>
      <c r="P264">
        <v>33886.04</v>
      </c>
      <c r="Q264">
        <v>10700.85</v>
      </c>
      <c r="R264" t="s">
        <v>32</v>
      </c>
      <c r="S264">
        <f t="shared" si="12"/>
        <v>4</v>
      </c>
      <c r="T264" s="2">
        <f t="shared" si="13"/>
        <v>0.76000008074122238</v>
      </c>
      <c r="U264" s="2">
        <f t="shared" si="14"/>
        <v>0.23999991925877764</v>
      </c>
    </row>
    <row r="265" spans="1:21" x14ac:dyDescent="0.3">
      <c r="A265">
        <v>10264</v>
      </c>
      <c r="B265" t="s">
        <v>102</v>
      </c>
      <c r="C265" t="s">
        <v>103</v>
      </c>
      <c r="D265" t="s">
        <v>30</v>
      </c>
      <c r="E265">
        <v>59</v>
      </c>
      <c r="F265" t="s">
        <v>75</v>
      </c>
      <c r="G265" t="s">
        <v>70</v>
      </c>
      <c r="H265" t="s">
        <v>71</v>
      </c>
      <c r="I265" t="s">
        <v>43</v>
      </c>
      <c r="J265">
        <v>11</v>
      </c>
      <c r="K265" s="1">
        <v>45906</v>
      </c>
      <c r="L265" s="1">
        <v>45918</v>
      </c>
      <c r="M265" t="s">
        <v>44</v>
      </c>
      <c r="N265" t="s">
        <v>51</v>
      </c>
      <c r="O265">
        <v>31254.46</v>
      </c>
      <c r="P265">
        <v>21565.58</v>
      </c>
      <c r="Q265">
        <v>9688.8799999999992</v>
      </c>
      <c r="R265" t="s">
        <v>27</v>
      </c>
      <c r="S265">
        <f t="shared" si="12"/>
        <v>12</v>
      </c>
      <c r="T265" s="2">
        <f t="shared" si="13"/>
        <v>0.69000008318812744</v>
      </c>
      <c r="U265" s="2">
        <f t="shared" si="14"/>
        <v>0.30999991681187261</v>
      </c>
    </row>
    <row r="266" spans="1:21" x14ac:dyDescent="0.3">
      <c r="A266">
        <v>10265</v>
      </c>
      <c r="B266" t="s">
        <v>18</v>
      </c>
      <c r="C266" t="s">
        <v>19</v>
      </c>
      <c r="D266" t="s">
        <v>20</v>
      </c>
      <c r="E266">
        <v>45</v>
      </c>
      <c r="F266" t="s">
        <v>21</v>
      </c>
      <c r="G266" t="s">
        <v>22</v>
      </c>
      <c r="H266" t="s">
        <v>23</v>
      </c>
      <c r="I266" t="s">
        <v>24</v>
      </c>
      <c r="J266">
        <v>15</v>
      </c>
      <c r="K266" s="1">
        <v>45867</v>
      </c>
      <c r="L266" s="1">
        <v>45881</v>
      </c>
      <c r="M266" t="s">
        <v>25</v>
      </c>
      <c r="N266" t="s">
        <v>26</v>
      </c>
      <c r="O266">
        <v>248909.17</v>
      </c>
      <c r="P266">
        <v>191660.06</v>
      </c>
      <c r="Q266">
        <v>57249.11</v>
      </c>
      <c r="R266" t="s">
        <v>32</v>
      </c>
      <c r="S266">
        <f t="shared" si="12"/>
        <v>14</v>
      </c>
      <c r="T266" s="2">
        <f t="shared" si="13"/>
        <v>0.76999999638422312</v>
      </c>
      <c r="U266" s="2">
        <f t="shared" si="14"/>
        <v>0.23000000361577677</v>
      </c>
    </row>
    <row r="267" spans="1:21" x14ac:dyDescent="0.3">
      <c r="A267">
        <v>10266</v>
      </c>
      <c r="B267" t="s">
        <v>144</v>
      </c>
      <c r="C267" t="s">
        <v>145</v>
      </c>
      <c r="D267" t="s">
        <v>30</v>
      </c>
      <c r="E267">
        <v>37</v>
      </c>
      <c r="F267" t="s">
        <v>40</v>
      </c>
      <c r="G267" t="s">
        <v>41</v>
      </c>
      <c r="H267" t="s">
        <v>42</v>
      </c>
      <c r="I267" t="s">
        <v>43</v>
      </c>
      <c r="J267">
        <v>9</v>
      </c>
      <c r="K267" s="1">
        <v>45658</v>
      </c>
      <c r="L267" s="1">
        <v>45669</v>
      </c>
      <c r="M267" t="s">
        <v>44</v>
      </c>
      <c r="N267" t="s">
        <v>51</v>
      </c>
      <c r="O267">
        <v>26566.400000000001</v>
      </c>
      <c r="P267">
        <v>18596.48</v>
      </c>
      <c r="Q267">
        <v>7969.92</v>
      </c>
      <c r="R267" t="s">
        <v>27</v>
      </c>
      <c r="S267">
        <f t="shared" si="12"/>
        <v>11</v>
      </c>
      <c r="T267" s="2">
        <f t="shared" si="13"/>
        <v>0.7</v>
      </c>
      <c r="U267" s="2">
        <f t="shared" si="14"/>
        <v>0.3</v>
      </c>
    </row>
    <row r="268" spans="1:21" x14ac:dyDescent="0.3">
      <c r="A268">
        <v>10267</v>
      </c>
      <c r="B268" t="s">
        <v>156</v>
      </c>
      <c r="C268" t="s">
        <v>157</v>
      </c>
      <c r="D268" t="s">
        <v>30</v>
      </c>
      <c r="E268">
        <v>47</v>
      </c>
      <c r="F268" t="s">
        <v>40</v>
      </c>
      <c r="G268" t="s">
        <v>88</v>
      </c>
      <c r="H268" t="s">
        <v>89</v>
      </c>
      <c r="I268" t="s">
        <v>62</v>
      </c>
      <c r="J268">
        <v>14</v>
      </c>
      <c r="K268" s="1">
        <v>45776</v>
      </c>
      <c r="L268" s="1">
        <v>45789</v>
      </c>
      <c r="M268" t="s">
        <v>63</v>
      </c>
      <c r="N268" t="s">
        <v>26</v>
      </c>
      <c r="O268">
        <v>17503.580000000002</v>
      </c>
      <c r="P268">
        <v>12252.51</v>
      </c>
      <c r="Q268">
        <v>5251.07</v>
      </c>
      <c r="R268" t="s">
        <v>27</v>
      </c>
      <c r="S268">
        <f t="shared" si="12"/>
        <v>13</v>
      </c>
      <c r="T268" s="2">
        <f t="shared" si="13"/>
        <v>0.70000022852467891</v>
      </c>
      <c r="U268" s="2">
        <f t="shared" si="14"/>
        <v>0.29999977147532098</v>
      </c>
    </row>
    <row r="269" spans="1:21" x14ac:dyDescent="0.3">
      <c r="A269">
        <v>10268</v>
      </c>
      <c r="B269" t="s">
        <v>104</v>
      </c>
      <c r="C269" t="s">
        <v>105</v>
      </c>
      <c r="D269" t="s">
        <v>30</v>
      </c>
      <c r="E269">
        <v>68</v>
      </c>
      <c r="F269" t="s">
        <v>21</v>
      </c>
      <c r="G269" t="s">
        <v>41</v>
      </c>
      <c r="H269" t="s">
        <v>42</v>
      </c>
      <c r="I269" t="s">
        <v>43</v>
      </c>
      <c r="J269">
        <v>9</v>
      </c>
      <c r="K269" s="1">
        <v>45673</v>
      </c>
      <c r="L269" s="1">
        <v>45681</v>
      </c>
      <c r="M269" t="s">
        <v>72</v>
      </c>
      <c r="N269" t="s">
        <v>26</v>
      </c>
      <c r="O269">
        <v>21904.48</v>
      </c>
      <c r="P269">
        <v>15552.18</v>
      </c>
      <c r="Q269">
        <v>6352.3</v>
      </c>
      <c r="R269" t="s">
        <v>32</v>
      </c>
      <c r="S269">
        <f t="shared" si="12"/>
        <v>8</v>
      </c>
      <c r="T269" s="2">
        <f t="shared" si="13"/>
        <v>0.70999996347779082</v>
      </c>
      <c r="U269" s="2">
        <f t="shared" si="14"/>
        <v>0.29000003652220918</v>
      </c>
    </row>
    <row r="270" spans="1:21" x14ac:dyDescent="0.3">
      <c r="A270">
        <v>10269</v>
      </c>
      <c r="B270" t="s">
        <v>162</v>
      </c>
      <c r="C270" t="s">
        <v>91</v>
      </c>
      <c r="D270" t="s">
        <v>30</v>
      </c>
      <c r="E270">
        <v>39</v>
      </c>
      <c r="F270" t="s">
        <v>119</v>
      </c>
      <c r="G270" t="s">
        <v>70</v>
      </c>
      <c r="H270" t="s">
        <v>71</v>
      </c>
      <c r="I270" t="s">
        <v>43</v>
      </c>
      <c r="J270">
        <v>11</v>
      </c>
      <c r="K270" s="1">
        <v>45863</v>
      </c>
      <c r="L270" s="1">
        <v>45875</v>
      </c>
      <c r="M270" t="s">
        <v>72</v>
      </c>
      <c r="N270" t="s">
        <v>26</v>
      </c>
      <c r="O270">
        <v>14328.91</v>
      </c>
      <c r="P270">
        <v>10460.1</v>
      </c>
      <c r="Q270">
        <v>3868.81</v>
      </c>
      <c r="R270" t="s">
        <v>32</v>
      </c>
      <c r="S270">
        <f t="shared" si="12"/>
        <v>12</v>
      </c>
      <c r="T270" s="2">
        <f t="shared" si="13"/>
        <v>0.72999969990739011</v>
      </c>
      <c r="U270" s="2">
        <f t="shared" si="14"/>
        <v>0.27000030009261</v>
      </c>
    </row>
    <row r="271" spans="1:21" x14ac:dyDescent="0.3">
      <c r="A271">
        <v>10270</v>
      </c>
      <c r="B271" t="s">
        <v>78</v>
      </c>
      <c r="C271" t="s">
        <v>79</v>
      </c>
      <c r="D271" t="s">
        <v>20</v>
      </c>
      <c r="E271">
        <v>67</v>
      </c>
      <c r="F271" t="s">
        <v>35</v>
      </c>
      <c r="G271" t="s">
        <v>41</v>
      </c>
      <c r="H271" t="s">
        <v>42</v>
      </c>
      <c r="I271" t="s">
        <v>43</v>
      </c>
      <c r="J271">
        <v>9</v>
      </c>
      <c r="K271" s="1">
        <v>45682</v>
      </c>
      <c r="L271" s="1">
        <v>45695</v>
      </c>
      <c r="M271" t="s">
        <v>112</v>
      </c>
      <c r="N271" t="s">
        <v>26</v>
      </c>
      <c r="O271">
        <v>25814.1</v>
      </c>
      <c r="P271">
        <v>16262.88</v>
      </c>
      <c r="Q271">
        <v>9551.2199999999993</v>
      </c>
      <c r="R271" t="s">
        <v>32</v>
      </c>
      <c r="S271">
        <f t="shared" si="12"/>
        <v>13</v>
      </c>
      <c r="T271" s="2">
        <f t="shared" si="13"/>
        <v>0.62999988378444338</v>
      </c>
      <c r="U271" s="2">
        <f t="shared" si="14"/>
        <v>0.37000011621555662</v>
      </c>
    </row>
    <row r="272" spans="1:21" x14ac:dyDescent="0.3">
      <c r="A272">
        <v>10271</v>
      </c>
      <c r="B272" t="s">
        <v>137</v>
      </c>
      <c r="C272" t="s">
        <v>138</v>
      </c>
      <c r="D272" t="s">
        <v>30</v>
      </c>
      <c r="E272">
        <v>56</v>
      </c>
      <c r="F272" t="s">
        <v>59</v>
      </c>
      <c r="G272" t="s">
        <v>70</v>
      </c>
      <c r="H272" t="s">
        <v>71</v>
      </c>
      <c r="I272" t="s">
        <v>43</v>
      </c>
      <c r="J272">
        <v>11</v>
      </c>
      <c r="K272" s="1">
        <v>45794</v>
      </c>
      <c r="L272" s="1">
        <v>45807</v>
      </c>
      <c r="M272" t="s">
        <v>112</v>
      </c>
      <c r="N272" t="s">
        <v>26</v>
      </c>
      <c r="O272">
        <v>46227.78</v>
      </c>
      <c r="P272">
        <v>33284</v>
      </c>
      <c r="Q272">
        <v>12943.78</v>
      </c>
      <c r="R272" t="s">
        <v>32</v>
      </c>
      <c r="S272">
        <f t="shared" si="12"/>
        <v>13</v>
      </c>
      <c r="T272" s="2">
        <f t="shared" si="13"/>
        <v>0.71999996538877709</v>
      </c>
      <c r="U272" s="2">
        <f t="shared" si="14"/>
        <v>0.28000003461122297</v>
      </c>
    </row>
    <row r="273" spans="1:21" x14ac:dyDescent="0.3">
      <c r="A273">
        <v>10272</v>
      </c>
      <c r="B273" t="s">
        <v>92</v>
      </c>
      <c r="C273" t="s">
        <v>93</v>
      </c>
      <c r="D273" t="s">
        <v>20</v>
      </c>
      <c r="E273">
        <v>40</v>
      </c>
      <c r="F273" t="s">
        <v>54</v>
      </c>
      <c r="G273" t="s">
        <v>55</v>
      </c>
      <c r="H273" t="s">
        <v>56</v>
      </c>
      <c r="I273" t="s">
        <v>49</v>
      </c>
      <c r="J273">
        <v>10</v>
      </c>
      <c r="K273" s="1">
        <v>45996</v>
      </c>
      <c r="L273" s="1">
        <v>46001</v>
      </c>
      <c r="M273" t="s">
        <v>85</v>
      </c>
      <c r="N273" t="s">
        <v>26</v>
      </c>
      <c r="O273">
        <v>115251.85</v>
      </c>
      <c r="P273">
        <v>95659.04</v>
      </c>
      <c r="Q273">
        <v>19592.810000000001</v>
      </c>
      <c r="R273" t="s">
        <v>32</v>
      </c>
      <c r="S273">
        <f t="shared" si="12"/>
        <v>5</v>
      </c>
      <c r="T273" s="2">
        <f t="shared" si="13"/>
        <v>0.83000003904492625</v>
      </c>
      <c r="U273" s="2">
        <f t="shared" si="14"/>
        <v>0.16999996095507361</v>
      </c>
    </row>
    <row r="274" spans="1:21" x14ac:dyDescent="0.3">
      <c r="A274">
        <v>10273</v>
      </c>
      <c r="B274" t="s">
        <v>150</v>
      </c>
      <c r="C274" t="s">
        <v>151</v>
      </c>
      <c r="D274" t="s">
        <v>30</v>
      </c>
      <c r="E274">
        <v>47</v>
      </c>
      <c r="F274" t="s">
        <v>54</v>
      </c>
      <c r="G274" t="s">
        <v>60</v>
      </c>
      <c r="H274" t="s">
        <v>61</v>
      </c>
      <c r="I274" t="s">
        <v>62</v>
      </c>
      <c r="J274">
        <v>18</v>
      </c>
      <c r="K274" s="1">
        <v>45692</v>
      </c>
      <c r="L274" s="1">
        <v>45704</v>
      </c>
      <c r="M274" t="s">
        <v>63</v>
      </c>
      <c r="N274" t="s">
        <v>26</v>
      </c>
      <c r="O274">
        <v>32091.65</v>
      </c>
      <c r="P274">
        <v>21822.32</v>
      </c>
      <c r="Q274">
        <v>10269.33</v>
      </c>
      <c r="R274" t="s">
        <v>32</v>
      </c>
      <c r="S274">
        <f t="shared" si="12"/>
        <v>12</v>
      </c>
      <c r="T274" s="2">
        <f t="shared" si="13"/>
        <v>0.67999993767849265</v>
      </c>
      <c r="U274" s="2">
        <f t="shared" si="14"/>
        <v>0.32000006232150729</v>
      </c>
    </row>
    <row r="275" spans="1:21" x14ac:dyDescent="0.3">
      <c r="A275">
        <v>10274</v>
      </c>
      <c r="B275" t="s">
        <v>137</v>
      </c>
      <c r="C275" t="s">
        <v>138</v>
      </c>
      <c r="D275" t="s">
        <v>30</v>
      </c>
      <c r="E275">
        <v>56</v>
      </c>
      <c r="F275" t="s">
        <v>59</v>
      </c>
      <c r="G275" t="s">
        <v>55</v>
      </c>
      <c r="H275" t="s">
        <v>56</v>
      </c>
      <c r="I275" t="s">
        <v>49</v>
      </c>
      <c r="J275">
        <v>10</v>
      </c>
      <c r="K275" s="1">
        <v>45738</v>
      </c>
      <c r="L275" s="1">
        <v>45741</v>
      </c>
      <c r="M275" t="s">
        <v>50</v>
      </c>
      <c r="N275" t="s">
        <v>26</v>
      </c>
      <c r="O275">
        <v>276722.03000000003</v>
      </c>
      <c r="P275">
        <v>221377.62</v>
      </c>
      <c r="Q275">
        <v>55344.41</v>
      </c>
      <c r="R275" t="s">
        <v>32</v>
      </c>
      <c r="S275">
        <f t="shared" si="12"/>
        <v>3</v>
      </c>
      <c r="T275" s="2">
        <f t="shared" si="13"/>
        <v>0.79999998554506113</v>
      </c>
      <c r="U275" s="2">
        <f t="shared" si="14"/>
        <v>0.20000001445493876</v>
      </c>
    </row>
    <row r="276" spans="1:21" x14ac:dyDescent="0.3">
      <c r="A276">
        <v>10275</v>
      </c>
      <c r="B276" t="s">
        <v>115</v>
      </c>
      <c r="C276" t="s">
        <v>116</v>
      </c>
      <c r="D276" t="s">
        <v>30</v>
      </c>
      <c r="E276">
        <v>18</v>
      </c>
      <c r="F276" t="s">
        <v>31</v>
      </c>
      <c r="G276" t="s">
        <v>70</v>
      </c>
      <c r="H276" t="s">
        <v>71</v>
      </c>
      <c r="I276" t="s">
        <v>43</v>
      </c>
      <c r="J276">
        <v>11</v>
      </c>
      <c r="K276" s="1">
        <v>45824</v>
      </c>
      <c r="L276" s="1">
        <v>45828</v>
      </c>
      <c r="M276" t="s">
        <v>112</v>
      </c>
      <c r="N276" t="s">
        <v>51</v>
      </c>
      <c r="O276">
        <v>66666.42</v>
      </c>
      <c r="P276">
        <v>47333.16</v>
      </c>
      <c r="Q276">
        <v>19333.259999999998</v>
      </c>
      <c r="R276" t="s">
        <v>32</v>
      </c>
      <c r="S276">
        <f t="shared" si="12"/>
        <v>4</v>
      </c>
      <c r="T276" s="2">
        <f t="shared" si="13"/>
        <v>0.71000002700010001</v>
      </c>
      <c r="U276" s="2">
        <f t="shared" si="14"/>
        <v>0.2899999729999001</v>
      </c>
    </row>
    <row r="277" spans="1:21" x14ac:dyDescent="0.3">
      <c r="A277">
        <v>10276</v>
      </c>
      <c r="B277" t="s">
        <v>162</v>
      </c>
      <c r="C277" t="s">
        <v>91</v>
      </c>
      <c r="D277" t="s">
        <v>30</v>
      </c>
      <c r="E277">
        <v>39</v>
      </c>
      <c r="F277" t="s">
        <v>119</v>
      </c>
      <c r="G277" t="s">
        <v>36</v>
      </c>
      <c r="H277" t="s">
        <v>37</v>
      </c>
      <c r="I277" t="s">
        <v>24</v>
      </c>
      <c r="J277">
        <v>12</v>
      </c>
      <c r="K277" s="1">
        <v>45980</v>
      </c>
      <c r="L277" s="1">
        <v>45989</v>
      </c>
      <c r="M277" t="s">
        <v>66</v>
      </c>
      <c r="N277" t="s">
        <v>51</v>
      </c>
      <c r="O277">
        <v>64326.64</v>
      </c>
      <c r="P277">
        <v>40525.78</v>
      </c>
      <c r="Q277">
        <v>23800.86</v>
      </c>
      <c r="R277" t="s">
        <v>27</v>
      </c>
      <c r="S277">
        <f t="shared" si="12"/>
        <v>9</v>
      </c>
      <c r="T277" s="2">
        <f t="shared" si="13"/>
        <v>0.62999995025389166</v>
      </c>
      <c r="U277" s="2">
        <f t="shared" si="14"/>
        <v>0.37000004974610834</v>
      </c>
    </row>
    <row r="278" spans="1:21" x14ac:dyDescent="0.3">
      <c r="A278">
        <v>10277</v>
      </c>
      <c r="B278" t="s">
        <v>148</v>
      </c>
      <c r="C278" t="s">
        <v>149</v>
      </c>
      <c r="D278" t="s">
        <v>30</v>
      </c>
      <c r="E278">
        <v>19</v>
      </c>
      <c r="F278" t="s">
        <v>21</v>
      </c>
      <c r="G278" t="s">
        <v>88</v>
      </c>
      <c r="H278" t="s">
        <v>89</v>
      </c>
      <c r="I278" t="s">
        <v>62</v>
      </c>
      <c r="J278">
        <v>14</v>
      </c>
      <c r="K278" s="1">
        <v>45983</v>
      </c>
      <c r="L278" s="1">
        <v>45995</v>
      </c>
      <c r="M278" t="s">
        <v>96</v>
      </c>
      <c r="N278" t="s">
        <v>26</v>
      </c>
      <c r="O278">
        <v>103976.64</v>
      </c>
      <c r="P278">
        <v>85260.84</v>
      </c>
      <c r="Q278">
        <v>18715.8</v>
      </c>
      <c r="R278" t="s">
        <v>27</v>
      </c>
      <c r="S278">
        <f t="shared" si="12"/>
        <v>12</v>
      </c>
      <c r="T278" s="2">
        <f t="shared" si="13"/>
        <v>0.81999995383578461</v>
      </c>
      <c r="U278" s="2">
        <f t="shared" si="14"/>
        <v>0.18000004616421533</v>
      </c>
    </row>
    <row r="279" spans="1:21" x14ac:dyDescent="0.3">
      <c r="A279">
        <v>10278</v>
      </c>
      <c r="B279" t="s">
        <v>133</v>
      </c>
      <c r="C279" t="s">
        <v>134</v>
      </c>
      <c r="D279" t="s">
        <v>20</v>
      </c>
      <c r="E279">
        <v>56</v>
      </c>
      <c r="F279" t="s">
        <v>40</v>
      </c>
      <c r="G279" t="s">
        <v>60</v>
      </c>
      <c r="H279" t="s">
        <v>61</v>
      </c>
      <c r="I279" t="s">
        <v>62</v>
      </c>
      <c r="J279">
        <v>18</v>
      </c>
      <c r="K279" s="1">
        <v>45853</v>
      </c>
      <c r="L279" s="1">
        <v>45865</v>
      </c>
      <c r="M279" t="s">
        <v>63</v>
      </c>
      <c r="N279" t="s">
        <v>26</v>
      </c>
      <c r="O279">
        <v>38705.56</v>
      </c>
      <c r="P279">
        <v>29803.279999999999</v>
      </c>
      <c r="Q279">
        <v>8902.2800000000007</v>
      </c>
      <c r="R279" t="s">
        <v>32</v>
      </c>
      <c r="S279">
        <f t="shared" si="12"/>
        <v>12</v>
      </c>
      <c r="T279" s="2">
        <f t="shared" si="13"/>
        <v>0.76999996899670231</v>
      </c>
      <c r="U279" s="2">
        <f t="shared" si="14"/>
        <v>0.23000003100329774</v>
      </c>
    </row>
    <row r="280" spans="1:21" x14ac:dyDescent="0.3">
      <c r="A280">
        <v>10279</v>
      </c>
      <c r="B280" t="s">
        <v>92</v>
      </c>
      <c r="C280" t="s">
        <v>93</v>
      </c>
      <c r="D280" t="s">
        <v>20</v>
      </c>
      <c r="E280">
        <v>40</v>
      </c>
      <c r="F280" t="s">
        <v>54</v>
      </c>
      <c r="G280" t="s">
        <v>36</v>
      </c>
      <c r="H280" t="s">
        <v>37</v>
      </c>
      <c r="I280" t="s">
        <v>24</v>
      </c>
      <c r="J280">
        <v>12</v>
      </c>
      <c r="K280" s="1">
        <v>45720</v>
      </c>
      <c r="L280" s="1">
        <v>45730</v>
      </c>
      <c r="M280" t="s">
        <v>76</v>
      </c>
      <c r="N280" t="s">
        <v>26</v>
      </c>
      <c r="O280">
        <v>427826.77</v>
      </c>
      <c r="P280">
        <v>342261.42</v>
      </c>
      <c r="Q280">
        <v>85565.35</v>
      </c>
      <c r="R280" t="s">
        <v>32</v>
      </c>
      <c r="S280">
        <f t="shared" si="12"/>
        <v>10</v>
      </c>
      <c r="T280" s="2">
        <f t="shared" si="13"/>
        <v>0.80000000934957849</v>
      </c>
      <c r="U280" s="2">
        <f t="shared" si="14"/>
        <v>0.19999999065042143</v>
      </c>
    </row>
    <row r="281" spans="1:21" x14ac:dyDescent="0.3">
      <c r="A281">
        <v>10280</v>
      </c>
      <c r="B281" t="s">
        <v>121</v>
      </c>
      <c r="C281" t="s">
        <v>122</v>
      </c>
      <c r="D281" t="s">
        <v>20</v>
      </c>
      <c r="E281">
        <v>23</v>
      </c>
      <c r="F281" t="s">
        <v>59</v>
      </c>
      <c r="G281" t="s">
        <v>60</v>
      </c>
      <c r="H281" t="s">
        <v>61</v>
      </c>
      <c r="I281" t="s">
        <v>62</v>
      </c>
      <c r="J281">
        <v>18</v>
      </c>
      <c r="K281" s="1">
        <v>45730</v>
      </c>
      <c r="L281" s="1">
        <v>45743</v>
      </c>
      <c r="M281" t="s">
        <v>96</v>
      </c>
      <c r="N281" t="s">
        <v>51</v>
      </c>
      <c r="O281">
        <v>129610.43</v>
      </c>
      <c r="P281">
        <v>108872.76</v>
      </c>
      <c r="Q281">
        <v>20737.669999999998</v>
      </c>
      <c r="R281" t="s">
        <v>27</v>
      </c>
      <c r="S281">
        <f t="shared" si="12"/>
        <v>13</v>
      </c>
      <c r="T281" s="2">
        <f t="shared" si="13"/>
        <v>0.8399999907414859</v>
      </c>
      <c r="U281" s="2">
        <f t="shared" si="14"/>
        <v>0.16000000925851415</v>
      </c>
    </row>
    <row r="282" spans="1:21" x14ac:dyDescent="0.3">
      <c r="A282">
        <v>10281</v>
      </c>
      <c r="B282" t="s">
        <v>144</v>
      </c>
      <c r="C282" t="s">
        <v>145</v>
      </c>
      <c r="D282" t="s">
        <v>30</v>
      </c>
      <c r="E282">
        <v>37</v>
      </c>
      <c r="F282" t="s">
        <v>40</v>
      </c>
      <c r="G282" t="s">
        <v>60</v>
      </c>
      <c r="H282" t="s">
        <v>61</v>
      </c>
      <c r="I282" t="s">
        <v>62</v>
      </c>
      <c r="J282">
        <v>18</v>
      </c>
      <c r="K282" s="1">
        <v>45834</v>
      </c>
      <c r="L282" s="1">
        <v>45848</v>
      </c>
      <c r="M282" t="s">
        <v>96</v>
      </c>
      <c r="N282" t="s">
        <v>51</v>
      </c>
      <c r="O282">
        <v>195578.73</v>
      </c>
      <c r="P282">
        <v>129081.96</v>
      </c>
      <c r="Q282">
        <v>66496.77</v>
      </c>
      <c r="R282" t="s">
        <v>32</v>
      </c>
      <c r="S282">
        <f t="shared" si="12"/>
        <v>14</v>
      </c>
      <c r="T282" s="2">
        <f t="shared" si="13"/>
        <v>0.65999999079654526</v>
      </c>
      <c r="U282" s="2">
        <f t="shared" si="14"/>
        <v>0.3400000092034548</v>
      </c>
    </row>
    <row r="283" spans="1:21" x14ac:dyDescent="0.3">
      <c r="A283">
        <v>10282</v>
      </c>
      <c r="B283" t="s">
        <v>139</v>
      </c>
      <c r="C283" t="s">
        <v>140</v>
      </c>
      <c r="D283" t="s">
        <v>20</v>
      </c>
      <c r="E283">
        <v>21</v>
      </c>
      <c r="F283" t="s">
        <v>119</v>
      </c>
      <c r="G283" t="s">
        <v>55</v>
      </c>
      <c r="H283" t="s">
        <v>56</v>
      </c>
      <c r="I283" t="s">
        <v>49</v>
      </c>
      <c r="J283">
        <v>10</v>
      </c>
      <c r="K283" s="1">
        <v>45810</v>
      </c>
      <c r="L283" s="1">
        <v>45814</v>
      </c>
      <c r="M283" t="s">
        <v>85</v>
      </c>
      <c r="N283" t="s">
        <v>26</v>
      </c>
      <c r="O283">
        <v>53170.54</v>
      </c>
      <c r="P283">
        <v>38814.49</v>
      </c>
      <c r="Q283">
        <v>14356.05</v>
      </c>
      <c r="R283" t="s">
        <v>32</v>
      </c>
      <c r="S283">
        <f t="shared" si="12"/>
        <v>4</v>
      </c>
      <c r="T283" s="2">
        <f t="shared" si="13"/>
        <v>0.72999992100888944</v>
      </c>
      <c r="U283" s="2">
        <f t="shared" si="14"/>
        <v>0.27000007899111045</v>
      </c>
    </row>
    <row r="284" spans="1:21" x14ac:dyDescent="0.3">
      <c r="A284">
        <v>10283</v>
      </c>
      <c r="B284" t="s">
        <v>99</v>
      </c>
      <c r="C284" t="s">
        <v>100</v>
      </c>
      <c r="D284" t="s">
        <v>30</v>
      </c>
      <c r="E284">
        <v>68</v>
      </c>
      <c r="F284" t="s">
        <v>69</v>
      </c>
      <c r="G284" t="s">
        <v>70</v>
      </c>
      <c r="H284" t="s">
        <v>71</v>
      </c>
      <c r="I284" t="s">
        <v>43</v>
      </c>
      <c r="J284">
        <v>11</v>
      </c>
      <c r="K284" s="1">
        <v>45796</v>
      </c>
      <c r="L284" s="1">
        <v>45810</v>
      </c>
      <c r="M284" t="s">
        <v>112</v>
      </c>
      <c r="N284" t="s">
        <v>26</v>
      </c>
      <c r="O284">
        <v>47907.41</v>
      </c>
      <c r="P284">
        <v>29702.59</v>
      </c>
      <c r="Q284">
        <v>18204.82</v>
      </c>
      <c r="R284" t="s">
        <v>32</v>
      </c>
      <c r="S284">
        <f t="shared" si="12"/>
        <v>14</v>
      </c>
      <c r="T284" s="2">
        <f t="shared" si="13"/>
        <v>0.61999991233088991</v>
      </c>
      <c r="U284" s="2">
        <f t="shared" si="14"/>
        <v>0.38000008766911003</v>
      </c>
    </row>
    <row r="285" spans="1:21" x14ac:dyDescent="0.3">
      <c r="A285">
        <v>10284</v>
      </c>
      <c r="B285" t="s">
        <v>67</v>
      </c>
      <c r="C285" t="s">
        <v>68</v>
      </c>
      <c r="D285" t="s">
        <v>20</v>
      </c>
      <c r="E285">
        <v>33</v>
      </c>
      <c r="F285" t="s">
        <v>69</v>
      </c>
      <c r="G285" t="s">
        <v>41</v>
      </c>
      <c r="H285" t="s">
        <v>42</v>
      </c>
      <c r="I285" t="s">
        <v>43</v>
      </c>
      <c r="J285">
        <v>9</v>
      </c>
      <c r="K285" s="1">
        <v>45960</v>
      </c>
      <c r="L285" s="1">
        <v>45970</v>
      </c>
      <c r="M285" t="s">
        <v>44</v>
      </c>
      <c r="N285" t="s">
        <v>26</v>
      </c>
      <c r="O285">
        <v>28132.39</v>
      </c>
      <c r="P285">
        <v>21943.26</v>
      </c>
      <c r="Q285">
        <v>6189.13</v>
      </c>
      <c r="R285" t="s">
        <v>32</v>
      </c>
      <c r="S285">
        <f t="shared" si="12"/>
        <v>10</v>
      </c>
      <c r="T285" s="2">
        <f t="shared" si="13"/>
        <v>0.7799998507058945</v>
      </c>
      <c r="U285" s="2">
        <f t="shared" si="14"/>
        <v>0.2200001492941055</v>
      </c>
    </row>
    <row r="286" spans="1:21" x14ac:dyDescent="0.3">
      <c r="A286">
        <v>10285</v>
      </c>
      <c r="B286" t="s">
        <v>162</v>
      </c>
      <c r="C286" t="s">
        <v>91</v>
      </c>
      <c r="D286" t="s">
        <v>30</v>
      </c>
      <c r="E286">
        <v>39</v>
      </c>
      <c r="F286" t="s">
        <v>119</v>
      </c>
      <c r="G286" t="s">
        <v>41</v>
      </c>
      <c r="H286" t="s">
        <v>42</v>
      </c>
      <c r="I286" t="s">
        <v>43</v>
      </c>
      <c r="J286">
        <v>9</v>
      </c>
      <c r="K286" s="1">
        <v>45826</v>
      </c>
      <c r="L286" s="1">
        <v>45834</v>
      </c>
      <c r="M286" t="s">
        <v>112</v>
      </c>
      <c r="N286" t="s">
        <v>26</v>
      </c>
      <c r="O286">
        <v>39350.410000000003</v>
      </c>
      <c r="P286">
        <v>25971.27</v>
      </c>
      <c r="Q286">
        <v>13379.14</v>
      </c>
      <c r="R286" t="s">
        <v>32</v>
      </c>
      <c r="S286">
        <f t="shared" si="12"/>
        <v>8</v>
      </c>
      <c r="T286" s="2">
        <f t="shared" si="13"/>
        <v>0.65999998475238242</v>
      </c>
      <c r="U286" s="2">
        <f t="shared" si="14"/>
        <v>0.34000001524761747</v>
      </c>
    </row>
    <row r="287" spans="1:21" x14ac:dyDescent="0.3">
      <c r="A287">
        <v>10286</v>
      </c>
      <c r="B287" t="s">
        <v>110</v>
      </c>
      <c r="C287" t="s">
        <v>111</v>
      </c>
      <c r="D287" t="s">
        <v>20</v>
      </c>
      <c r="E287">
        <v>44</v>
      </c>
      <c r="F287" t="s">
        <v>35</v>
      </c>
      <c r="G287" t="s">
        <v>47</v>
      </c>
      <c r="H287" t="s">
        <v>48</v>
      </c>
      <c r="I287" t="s">
        <v>49</v>
      </c>
      <c r="J287">
        <v>8</v>
      </c>
      <c r="K287" s="1">
        <v>45719</v>
      </c>
      <c r="L287" s="1">
        <v>45721</v>
      </c>
      <c r="M287" t="s">
        <v>85</v>
      </c>
      <c r="N287" t="s">
        <v>26</v>
      </c>
      <c r="O287">
        <v>128188.75</v>
      </c>
      <c r="P287">
        <v>88450.240000000005</v>
      </c>
      <c r="Q287">
        <v>39738.51</v>
      </c>
      <c r="R287" t="s">
        <v>27</v>
      </c>
      <c r="S287">
        <f t="shared" si="12"/>
        <v>2</v>
      </c>
      <c r="T287" s="2">
        <f t="shared" si="13"/>
        <v>0.69000001950249146</v>
      </c>
      <c r="U287" s="2">
        <f t="shared" si="14"/>
        <v>0.3099999804975086</v>
      </c>
    </row>
    <row r="288" spans="1:21" x14ac:dyDescent="0.3">
      <c r="A288">
        <v>10287</v>
      </c>
      <c r="B288" t="s">
        <v>137</v>
      </c>
      <c r="C288" t="s">
        <v>138</v>
      </c>
      <c r="D288" t="s">
        <v>30</v>
      </c>
      <c r="E288">
        <v>56</v>
      </c>
      <c r="F288" t="s">
        <v>59</v>
      </c>
      <c r="G288" t="s">
        <v>47</v>
      </c>
      <c r="H288" t="s">
        <v>48</v>
      </c>
      <c r="I288" t="s">
        <v>49</v>
      </c>
      <c r="J288">
        <v>8</v>
      </c>
      <c r="K288" s="1">
        <v>45921</v>
      </c>
      <c r="L288" s="1">
        <v>45935</v>
      </c>
      <c r="M288" t="s">
        <v>101</v>
      </c>
      <c r="N288" t="s">
        <v>51</v>
      </c>
      <c r="O288">
        <v>58968.49</v>
      </c>
      <c r="P288">
        <v>38329.519999999997</v>
      </c>
      <c r="Q288">
        <v>20638.97</v>
      </c>
      <c r="R288" t="s">
        <v>27</v>
      </c>
      <c r="S288">
        <f t="shared" si="12"/>
        <v>14</v>
      </c>
      <c r="T288" s="2">
        <f t="shared" si="13"/>
        <v>0.65000002543731406</v>
      </c>
      <c r="U288" s="2">
        <f t="shared" si="14"/>
        <v>0.34999997456268594</v>
      </c>
    </row>
    <row r="289" spans="1:21" x14ac:dyDescent="0.3">
      <c r="A289">
        <v>10288</v>
      </c>
      <c r="B289" t="s">
        <v>99</v>
      </c>
      <c r="C289" t="s">
        <v>100</v>
      </c>
      <c r="D289" t="s">
        <v>30</v>
      </c>
      <c r="E289">
        <v>68</v>
      </c>
      <c r="F289" t="s">
        <v>69</v>
      </c>
      <c r="G289" t="s">
        <v>88</v>
      </c>
      <c r="H289" t="s">
        <v>89</v>
      </c>
      <c r="I289" t="s">
        <v>62</v>
      </c>
      <c r="J289">
        <v>14</v>
      </c>
      <c r="K289" s="1">
        <v>45955</v>
      </c>
      <c r="L289" s="1">
        <v>45969</v>
      </c>
      <c r="M289" t="s">
        <v>96</v>
      </c>
      <c r="N289" t="s">
        <v>26</v>
      </c>
      <c r="O289">
        <v>289550.01</v>
      </c>
      <c r="P289">
        <v>243222.01</v>
      </c>
      <c r="Q289">
        <v>46328</v>
      </c>
      <c r="R289" t="s">
        <v>32</v>
      </c>
      <c r="S289">
        <f t="shared" si="12"/>
        <v>14</v>
      </c>
      <c r="T289" s="2">
        <f t="shared" si="13"/>
        <v>0.84000000552581577</v>
      </c>
      <c r="U289" s="2">
        <f t="shared" si="14"/>
        <v>0.15999999447418425</v>
      </c>
    </row>
    <row r="290" spans="1:21" x14ac:dyDescent="0.3">
      <c r="A290">
        <v>10289</v>
      </c>
      <c r="B290" t="s">
        <v>64</v>
      </c>
      <c r="C290" t="s">
        <v>65</v>
      </c>
      <c r="D290" t="s">
        <v>20</v>
      </c>
      <c r="E290">
        <v>27</v>
      </c>
      <c r="F290" t="s">
        <v>31</v>
      </c>
      <c r="G290" t="s">
        <v>88</v>
      </c>
      <c r="H290" t="s">
        <v>89</v>
      </c>
      <c r="I290" t="s">
        <v>62</v>
      </c>
      <c r="J290">
        <v>14</v>
      </c>
      <c r="K290" s="1">
        <v>45737</v>
      </c>
      <c r="L290" s="1">
        <v>45745</v>
      </c>
      <c r="M290" t="s">
        <v>96</v>
      </c>
      <c r="N290" t="s">
        <v>51</v>
      </c>
      <c r="O290">
        <v>270919.67</v>
      </c>
      <c r="P290">
        <v>167970.2</v>
      </c>
      <c r="Q290">
        <v>102949.47</v>
      </c>
      <c r="R290" t="s">
        <v>32</v>
      </c>
      <c r="S290">
        <f t="shared" si="12"/>
        <v>8</v>
      </c>
      <c r="T290" s="2">
        <f t="shared" si="13"/>
        <v>0.62000001697920282</v>
      </c>
      <c r="U290" s="2">
        <f t="shared" si="14"/>
        <v>0.37999998302079729</v>
      </c>
    </row>
    <row r="291" spans="1:21" x14ac:dyDescent="0.3">
      <c r="A291">
        <v>10290</v>
      </c>
      <c r="B291" t="s">
        <v>67</v>
      </c>
      <c r="C291" t="s">
        <v>68</v>
      </c>
      <c r="D291" t="s">
        <v>20</v>
      </c>
      <c r="E291">
        <v>33</v>
      </c>
      <c r="F291" t="s">
        <v>69</v>
      </c>
      <c r="G291" t="s">
        <v>41</v>
      </c>
      <c r="H291" t="s">
        <v>42</v>
      </c>
      <c r="I291" t="s">
        <v>43</v>
      </c>
      <c r="J291">
        <v>9</v>
      </c>
      <c r="K291" s="1">
        <v>45825</v>
      </c>
      <c r="L291" s="1">
        <v>45828</v>
      </c>
      <c r="M291" t="s">
        <v>112</v>
      </c>
      <c r="N291" t="s">
        <v>26</v>
      </c>
      <c r="O291">
        <v>60309.41</v>
      </c>
      <c r="P291">
        <v>37994.93</v>
      </c>
      <c r="Q291">
        <v>22314.48</v>
      </c>
      <c r="R291" t="s">
        <v>32</v>
      </c>
      <c r="S291">
        <f t="shared" si="12"/>
        <v>3</v>
      </c>
      <c r="T291" s="2">
        <f t="shared" si="13"/>
        <v>0.63000002818797263</v>
      </c>
      <c r="U291" s="2">
        <f t="shared" si="14"/>
        <v>0.36999997181202732</v>
      </c>
    </row>
    <row r="292" spans="1:21" x14ac:dyDescent="0.3">
      <c r="A292">
        <v>10291</v>
      </c>
      <c r="B292" t="s">
        <v>148</v>
      </c>
      <c r="C292" t="s">
        <v>149</v>
      </c>
      <c r="D292" t="s">
        <v>30</v>
      </c>
      <c r="E292">
        <v>19</v>
      </c>
      <c r="F292" t="s">
        <v>21</v>
      </c>
      <c r="G292" t="s">
        <v>88</v>
      </c>
      <c r="H292" t="s">
        <v>89</v>
      </c>
      <c r="I292" t="s">
        <v>62</v>
      </c>
      <c r="J292">
        <v>14</v>
      </c>
      <c r="K292" s="1">
        <v>45863</v>
      </c>
      <c r="L292" s="1">
        <v>45876</v>
      </c>
      <c r="M292" t="s">
        <v>96</v>
      </c>
      <c r="N292" t="s">
        <v>26</v>
      </c>
      <c r="O292">
        <v>95744.320000000007</v>
      </c>
      <c r="P292">
        <v>60318.92</v>
      </c>
      <c r="Q292">
        <v>35425.4</v>
      </c>
      <c r="R292" t="s">
        <v>32</v>
      </c>
      <c r="S292">
        <f t="shared" si="12"/>
        <v>13</v>
      </c>
      <c r="T292" s="2">
        <f t="shared" si="13"/>
        <v>0.62999998328882589</v>
      </c>
      <c r="U292" s="2">
        <f t="shared" si="14"/>
        <v>0.37000001671117411</v>
      </c>
    </row>
    <row r="293" spans="1:21" x14ac:dyDescent="0.3">
      <c r="A293">
        <v>10292</v>
      </c>
      <c r="B293" t="s">
        <v>92</v>
      </c>
      <c r="C293" t="s">
        <v>93</v>
      </c>
      <c r="D293" t="s">
        <v>20</v>
      </c>
      <c r="E293">
        <v>40</v>
      </c>
      <c r="F293" t="s">
        <v>54</v>
      </c>
      <c r="G293" t="s">
        <v>70</v>
      </c>
      <c r="H293" t="s">
        <v>71</v>
      </c>
      <c r="I293" t="s">
        <v>43</v>
      </c>
      <c r="J293">
        <v>11</v>
      </c>
      <c r="K293" s="1">
        <v>45990</v>
      </c>
      <c r="L293" s="1">
        <v>45997</v>
      </c>
      <c r="M293" t="s">
        <v>112</v>
      </c>
      <c r="N293" t="s">
        <v>26</v>
      </c>
      <c r="O293">
        <v>50211.6</v>
      </c>
      <c r="P293">
        <v>35650.239999999998</v>
      </c>
      <c r="Q293">
        <v>14561.36</v>
      </c>
      <c r="R293" t="s">
        <v>32</v>
      </c>
      <c r="S293">
        <f t="shared" si="12"/>
        <v>7</v>
      </c>
      <c r="T293" s="2">
        <f t="shared" si="13"/>
        <v>0.71000007966286671</v>
      </c>
      <c r="U293" s="2">
        <f t="shared" si="14"/>
        <v>0.28999992033713329</v>
      </c>
    </row>
    <row r="294" spans="1:21" x14ac:dyDescent="0.3">
      <c r="A294">
        <v>10293</v>
      </c>
      <c r="B294" t="s">
        <v>160</v>
      </c>
      <c r="C294" t="s">
        <v>161</v>
      </c>
      <c r="D294" t="s">
        <v>20</v>
      </c>
      <c r="E294">
        <v>18</v>
      </c>
      <c r="F294" t="s">
        <v>54</v>
      </c>
      <c r="G294" t="s">
        <v>88</v>
      </c>
      <c r="H294" t="s">
        <v>89</v>
      </c>
      <c r="I294" t="s">
        <v>62</v>
      </c>
      <c r="J294">
        <v>14</v>
      </c>
      <c r="K294" s="1">
        <v>45830</v>
      </c>
      <c r="L294" s="1">
        <v>45838</v>
      </c>
      <c r="M294" t="s">
        <v>96</v>
      </c>
      <c r="N294" t="s">
        <v>51</v>
      </c>
      <c r="O294">
        <v>195455.6</v>
      </c>
      <c r="P294">
        <v>152455.37</v>
      </c>
      <c r="Q294">
        <v>43000.23</v>
      </c>
      <c r="R294" t="s">
        <v>32</v>
      </c>
      <c r="S294">
        <f t="shared" si="12"/>
        <v>8</v>
      </c>
      <c r="T294" s="2">
        <f t="shared" si="13"/>
        <v>0.78000001023250287</v>
      </c>
      <c r="U294" s="2">
        <f t="shared" si="14"/>
        <v>0.21999998976749707</v>
      </c>
    </row>
    <row r="295" spans="1:21" x14ac:dyDescent="0.3">
      <c r="A295">
        <v>10294</v>
      </c>
      <c r="B295" t="s">
        <v>162</v>
      </c>
      <c r="C295" t="s">
        <v>91</v>
      </c>
      <c r="D295" t="s">
        <v>30</v>
      </c>
      <c r="E295">
        <v>39</v>
      </c>
      <c r="F295" t="s">
        <v>119</v>
      </c>
      <c r="G295" t="s">
        <v>88</v>
      </c>
      <c r="H295" t="s">
        <v>89</v>
      </c>
      <c r="I295" t="s">
        <v>62</v>
      </c>
      <c r="J295">
        <v>14</v>
      </c>
      <c r="K295" s="1">
        <v>46007</v>
      </c>
      <c r="L295" s="1">
        <v>46012</v>
      </c>
      <c r="M295" t="s">
        <v>63</v>
      </c>
      <c r="N295" t="s">
        <v>26</v>
      </c>
      <c r="O295">
        <v>34227.17</v>
      </c>
      <c r="P295">
        <v>28408.55</v>
      </c>
      <c r="Q295">
        <v>5818.62</v>
      </c>
      <c r="R295" t="s">
        <v>27</v>
      </c>
      <c r="S295">
        <f t="shared" si="12"/>
        <v>5</v>
      </c>
      <c r="T295" s="2">
        <f t="shared" si="13"/>
        <v>0.82999996786178931</v>
      </c>
      <c r="U295" s="2">
        <f t="shared" si="14"/>
        <v>0.17000003213821066</v>
      </c>
    </row>
    <row r="296" spans="1:21" x14ac:dyDescent="0.3">
      <c r="A296">
        <v>10295</v>
      </c>
      <c r="B296" t="s">
        <v>144</v>
      </c>
      <c r="C296" t="s">
        <v>145</v>
      </c>
      <c r="D296" t="s">
        <v>30</v>
      </c>
      <c r="E296">
        <v>37</v>
      </c>
      <c r="F296" t="s">
        <v>40</v>
      </c>
      <c r="G296" t="s">
        <v>47</v>
      </c>
      <c r="H296" t="s">
        <v>48</v>
      </c>
      <c r="I296" t="s">
        <v>49</v>
      </c>
      <c r="J296">
        <v>8</v>
      </c>
      <c r="K296" s="1">
        <v>45833</v>
      </c>
      <c r="L296" s="1">
        <v>45835</v>
      </c>
      <c r="M296" t="s">
        <v>101</v>
      </c>
      <c r="N296" t="s">
        <v>26</v>
      </c>
      <c r="O296">
        <v>32537.439999999999</v>
      </c>
      <c r="P296">
        <v>25053.83</v>
      </c>
      <c r="Q296">
        <v>7483.61</v>
      </c>
      <c r="R296" t="s">
        <v>32</v>
      </c>
      <c r="S296">
        <f t="shared" si="12"/>
        <v>2</v>
      </c>
      <c r="T296" s="2">
        <f t="shared" si="13"/>
        <v>0.7700000368805906</v>
      </c>
      <c r="U296" s="2">
        <f t="shared" si="14"/>
        <v>0.22999996311940951</v>
      </c>
    </row>
    <row r="297" spans="1:21" x14ac:dyDescent="0.3">
      <c r="A297">
        <v>10296</v>
      </c>
      <c r="B297" t="s">
        <v>144</v>
      </c>
      <c r="C297" t="s">
        <v>145</v>
      </c>
      <c r="D297" t="s">
        <v>30</v>
      </c>
      <c r="E297">
        <v>37</v>
      </c>
      <c r="F297" t="s">
        <v>40</v>
      </c>
      <c r="G297" t="s">
        <v>41</v>
      </c>
      <c r="H297" t="s">
        <v>42</v>
      </c>
      <c r="I297" t="s">
        <v>43</v>
      </c>
      <c r="J297">
        <v>9</v>
      </c>
      <c r="K297" s="1">
        <v>45870</v>
      </c>
      <c r="L297" s="1">
        <v>45881</v>
      </c>
      <c r="M297" t="s">
        <v>72</v>
      </c>
      <c r="N297" t="s">
        <v>51</v>
      </c>
      <c r="O297">
        <v>11854.63</v>
      </c>
      <c r="P297">
        <v>8179.69</v>
      </c>
      <c r="Q297">
        <v>3674.94</v>
      </c>
      <c r="R297" t="s">
        <v>32</v>
      </c>
      <c r="S297">
        <f t="shared" si="12"/>
        <v>11</v>
      </c>
      <c r="T297" s="2">
        <f t="shared" si="13"/>
        <v>0.68999960353043499</v>
      </c>
      <c r="U297" s="2">
        <f t="shared" si="14"/>
        <v>0.31000039646956506</v>
      </c>
    </row>
    <row r="298" spans="1:21" x14ac:dyDescent="0.3">
      <c r="A298">
        <v>10297</v>
      </c>
      <c r="B298" t="s">
        <v>152</v>
      </c>
      <c r="C298" t="s">
        <v>153</v>
      </c>
      <c r="D298" t="s">
        <v>20</v>
      </c>
      <c r="E298">
        <v>27</v>
      </c>
      <c r="F298" t="s">
        <v>59</v>
      </c>
      <c r="G298" t="s">
        <v>55</v>
      </c>
      <c r="H298" t="s">
        <v>56</v>
      </c>
      <c r="I298" t="s">
        <v>49</v>
      </c>
      <c r="J298">
        <v>10</v>
      </c>
      <c r="K298" s="1">
        <v>45993</v>
      </c>
      <c r="L298" s="1">
        <v>45998</v>
      </c>
      <c r="M298" t="s">
        <v>85</v>
      </c>
      <c r="N298" t="s">
        <v>26</v>
      </c>
      <c r="O298">
        <v>57483.89</v>
      </c>
      <c r="P298">
        <v>35065.17</v>
      </c>
      <c r="Q298">
        <v>22418.720000000001</v>
      </c>
      <c r="R298" t="s">
        <v>32</v>
      </c>
      <c r="S298">
        <f t="shared" si="12"/>
        <v>5</v>
      </c>
      <c r="T298" s="2">
        <f t="shared" si="13"/>
        <v>0.60999994955108294</v>
      </c>
      <c r="U298" s="2">
        <f t="shared" si="14"/>
        <v>0.39000005044891711</v>
      </c>
    </row>
    <row r="299" spans="1:21" x14ac:dyDescent="0.3">
      <c r="A299">
        <v>10298</v>
      </c>
      <c r="B299" t="s">
        <v>135</v>
      </c>
      <c r="C299" t="s">
        <v>136</v>
      </c>
      <c r="D299" t="s">
        <v>30</v>
      </c>
      <c r="E299">
        <v>52</v>
      </c>
      <c r="F299" t="s">
        <v>35</v>
      </c>
      <c r="G299" t="s">
        <v>55</v>
      </c>
      <c r="H299" t="s">
        <v>56</v>
      </c>
      <c r="I299" t="s">
        <v>49</v>
      </c>
      <c r="J299">
        <v>10</v>
      </c>
      <c r="K299" s="1">
        <v>45676</v>
      </c>
      <c r="L299" s="1">
        <v>45690</v>
      </c>
      <c r="M299" t="s">
        <v>101</v>
      </c>
      <c r="N299" t="s">
        <v>26</v>
      </c>
      <c r="O299">
        <v>35755.32</v>
      </c>
      <c r="P299">
        <v>27174.04</v>
      </c>
      <c r="Q299">
        <v>8581.2800000000007</v>
      </c>
      <c r="R299" t="s">
        <v>32</v>
      </c>
      <c r="S299">
        <f t="shared" si="12"/>
        <v>14</v>
      </c>
      <c r="T299" s="2">
        <f t="shared" si="13"/>
        <v>0.75999991050282867</v>
      </c>
      <c r="U299" s="2">
        <f t="shared" si="14"/>
        <v>0.24000008949717136</v>
      </c>
    </row>
    <row r="300" spans="1:21" x14ac:dyDescent="0.3">
      <c r="A300">
        <v>10299</v>
      </c>
      <c r="B300" t="s">
        <v>106</v>
      </c>
      <c r="C300" t="s">
        <v>107</v>
      </c>
      <c r="D300" t="s">
        <v>30</v>
      </c>
      <c r="E300">
        <v>37</v>
      </c>
      <c r="F300" t="s">
        <v>31</v>
      </c>
      <c r="G300" t="s">
        <v>41</v>
      </c>
      <c r="H300" t="s">
        <v>42</v>
      </c>
      <c r="I300" t="s">
        <v>43</v>
      </c>
      <c r="J300">
        <v>9</v>
      </c>
      <c r="K300" s="1">
        <v>45688</v>
      </c>
      <c r="L300" s="1">
        <v>45702</v>
      </c>
      <c r="M300" t="s">
        <v>44</v>
      </c>
      <c r="N300" t="s">
        <v>26</v>
      </c>
      <c r="O300">
        <v>32569.21</v>
      </c>
      <c r="P300">
        <v>24752.6</v>
      </c>
      <c r="Q300">
        <v>7816.61</v>
      </c>
      <c r="R300" t="s">
        <v>32</v>
      </c>
      <c r="S300">
        <f t="shared" si="12"/>
        <v>14</v>
      </c>
      <c r="T300" s="2">
        <f t="shared" si="13"/>
        <v>0.76000001228153824</v>
      </c>
      <c r="U300" s="2">
        <f t="shared" si="14"/>
        <v>0.2399999877184617</v>
      </c>
    </row>
    <row r="301" spans="1:21" x14ac:dyDescent="0.3">
      <c r="A301">
        <v>10300</v>
      </c>
      <c r="B301" t="s">
        <v>45</v>
      </c>
      <c r="C301" t="s">
        <v>46</v>
      </c>
      <c r="D301" t="s">
        <v>30</v>
      </c>
      <c r="E301">
        <v>45</v>
      </c>
      <c r="F301" t="s">
        <v>40</v>
      </c>
      <c r="G301" t="s">
        <v>88</v>
      </c>
      <c r="H301" t="s">
        <v>89</v>
      </c>
      <c r="I301" t="s">
        <v>62</v>
      </c>
      <c r="J301">
        <v>14</v>
      </c>
      <c r="K301" s="1">
        <v>45886</v>
      </c>
      <c r="L301" s="1">
        <v>45892</v>
      </c>
      <c r="M301" t="s">
        <v>63</v>
      </c>
      <c r="N301" t="s">
        <v>51</v>
      </c>
      <c r="O301">
        <v>21691.85</v>
      </c>
      <c r="P301">
        <v>15835.05</v>
      </c>
      <c r="Q301">
        <v>5856.8</v>
      </c>
      <c r="R301" t="s">
        <v>32</v>
      </c>
      <c r="S301">
        <f t="shared" si="12"/>
        <v>6</v>
      </c>
      <c r="T301" s="2">
        <f t="shared" si="13"/>
        <v>0.72999997694986829</v>
      </c>
      <c r="U301" s="2">
        <f t="shared" si="14"/>
        <v>0.27000002305013177</v>
      </c>
    </row>
    <row r="302" spans="1:21" x14ac:dyDescent="0.3">
      <c r="A302">
        <v>10301</v>
      </c>
      <c r="B302" t="s">
        <v>117</v>
      </c>
      <c r="C302" t="s">
        <v>118</v>
      </c>
      <c r="D302" t="s">
        <v>20</v>
      </c>
      <c r="E302">
        <v>65</v>
      </c>
      <c r="F302" t="s">
        <v>119</v>
      </c>
      <c r="G302" t="s">
        <v>60</v>
      </c>
      <c r="H302" t="s">
        <v>61</v>
      </c>
      <c r="I302" t="s">
        <v>62</v>
      </c>
      <c r="J302">
        <v>18</v>
      </c>
      <c r="K302" s="1">
        <v>45930</v>
      </c>
      <c r="L302" s="1">
        <v>45943</v>
      </c>
      <c r="M302" t="s">
        <v>63</v>
      </c>
      <c r="N302" t="s">
        <v>26</v>
      </c>
      <c r="O302">
        <v>15081.27</v>
      </c>
      <c r="P302">
        <v>10707.7</v>
      </c>
      <c r="Q302">
        <v>4373.57</v>
      </c>
      <c r="R302" t="s">
        <v>32</v>
      </c>
      <c r="S302">
        <f t="shared" si="12"/>
        <v>13</v>
      </c>
      <c r="T302" s="2">
        <f t="shared" si="13"/>
        <v>0.70999988727739771</v>
      </c>
      <c r="U302" s="2">
        <f t="shared" si="14"/>
        <v>0.29000011272260223</v>
      </c>
    </row>
    <row r="303" spans="1:21" x14ac:dyDescent="0.3">
      <c r="A303">
        <v>10302</v>
      </c>
      <c r="B303" t="s">
        <v>139</v>
      </c>
      <c r="C303" t="s">
        <v>140</v>
      </c>
      <c r="D303" t="s">
        <v>20</v>
      </c>
      <c r="E303">
        <v>21</v>
      </c>
      <c r="F303" t="s">
        <v>119</v>
      </c>
      <c r="G303" t="s">
        <v>70</v>
      </c>
      <c r="H303" t="s">
        <v>71</v>
      </c>
      <c r="I303" t="s">
        <v>43</v>
      </c>
      <c r="J303">
        <v>11</v>
      </c>
      <c r="K303" s="1">
        <v>45722</v>
      </c>
      <c r="L303" s="1">
        <v>45729</v>
      </c>
      <c r="M303" t="s">
        <v>72</v>
      </c>
      <c r="N303" t="s">
        <v>26</v>
      </c>
      <c r="O303">
        <v>19921.93</v>
      </c>
      <c r="P303">
        <v>14144.57</v>
      </c>
      <c r="Q303">
        <v>5777.36</v>
      </c>
      <c r="R303" t="s">
        <v>27</v>
      </c>
      <c r="S303">
        <f t="shared" si="12"/>
        <v>7</v>
      </c>
      <c r="T303" s="2">
        <f t="shared" si="13"/>
        <v>0.70999998494121797</v>
      </c>
      <c r="U303" s="2">
        <f t="shared" si="14"/>
        <v>0.29000001505878192</v>
      </c>
    </row>
    <row r="304" spans="1:21" x14ac:dyDescent="0.3">
      <c r="A304">
        <v>10303</v>
      </c>
      <c r="B304" t="s">
        <v>52</v>
      </c>
      <c r="C304" t="s">
        <v>53</v>
      </c>
      <c r="D304" t="s">
        <v>20</v>
      </c>
      <c r="E304">
        <v>49</v>
      </c>
      <c r="F304" t="s">
        <v>54</v>
      </c>
      <c r="G304" t="s">
        <v>60</v>
      </c>
      <c r="H304" t="s">
        <v>61</v>
      </c>
      <c r="I304" t="s">
        <v>62</v>
      </c>
      <c r="J304">
        <v>18</v>
      </c>
      <c r="K304" s="1">
        <v>45719</v>
      </c>
      <c r="L304" s="1">
        <v>45732</v>
      </c>
      <c r="M304" t="s">
        <v>63</v>
      </c>
      <c r="N304" t="s">
        <v>26</v>
      </c>
      <c r="O304">
        <v>22862.5</v>
      </c>
      <c r="P304">
        <v>16918.25</v>
      </c>
      <c r="Q304">
        <v>5944.25</v>
      </c>
      <c r="R304" t="s">
        <v>32</v>
      </c>
      <c r="S304">
        <f t="shared" si="12"/>
        <v>13</v>
      </c>
      <c r="T304" s="2">
        <f t="shared" si="13"/>
        <v>0.74</v>
      </c>
      <c r="U304" s="2">
        <f t="shared" si="14"/>
        <v>0.26</v>
      </c>
    </row>
    <row r="305" spans="1:21" x14ac:dyDescent="0.3">
      <c r="A305">
        <v>10304</v>
      </c>
      <c r="B305" t="s">
        <v>45</v>
      </c>
      <c r="C305" t="s">
        <v>46</v>
      </c>
      <c r="D305" t="s">
        <v>30</v>
      </c>
      <c r="E305">
        <v>45</v>
      </c>
      <c r="F305" t="s">
        <v>40</v>
      </c>
      <c r="G305" t="s">
        <v>41</v>
      </c>
      <c r="H305" t="s">
        <v>42</v>
      </c>
      <c r="I305" t="s">
        <v>43</v>
      </c>
      <c r="J305">
        <v>9</v>
      </c>
      <c r="K305" s="1">
        <v>45983</v>
      </c>
      <c r="L305" s="1">
        <v>45985</v>
      </c>
      <c r="M305" t="s">
        <v>112</v>
      </c>
      <c r="N305" t="s">
        <v>51</v>
      </c>
      <c r="O305">
        <v>46048.42</v>
      </c>
      <c r="P305">
        <v>31312.93</v>
      </c>
      <c r="Q305">
        <v>14735.49</v>
      </c>
      <c r="R305" t="s">
        <v>32</v>
      </c>
      <c r="S305">
        <f t="shared" si="12"/>
        <v>2</v>
      </c>
      <c r="T305" s="2">
        <f t="shared" si="13"/>
        <v>0.68000009555159546</v>
      </c>
      <c r="U305" s="2">
        <f t="shared" si="14"/>
        <v>0.31999990444840454</v>
      </c>
    </row>
    <row r="306" spans="1:21" x14ac:dyDescent="0.3">
      <c r="A306">
        <v>10305</v>
      </c>
      <c r="B306" t="s">
        <v>104</v>
      </c>
      <c r="C306" t="s">
        <v>105</v>
      </c>
      <c r="D306" t="s">
        <v>30</v>
      </c>
      <c r="E306">
        <v>68</v>
      </c>
      <c r="F306" t="s">
        <v>21</v>
      </c>
      <c r="G306" t="s">
        <v>60</v>
      </c>
      <c r="H306" t="s">
        <v>61</v>
      </c>
      <c r="I306" t="s">
        <v>62</v>
      </c>
      <c r="J306">
        <v>18</v>
      </c>
      <c r="K306" s="1">
        <v>45936</v>
      </c>
      <c r="L306" s="1">
        <v>45942</v>
      </c>
      <c r="M306" t="s">
        <v>63</v>
      </c>
      <c r="N306" t="s">
        <v>51</v>
      </c>
      <c r="O306">
        <v>31695.46</v>
      </c>
      <c r="P306">
        <v>26624.19</v>
      </c>
      <c r="Q306">
        <v>5071.2700000000004</v>
      </c>
      <c r="R306" t="s">
        <v>27</v>
      </c>
      <c r="S306">
        <f t="shared" si="12"/>
        <v>6</v>
      </c>
      <c r="T306" s="2">
        <f t="shared" si="13"/>
        <v>0.84000011358093551</v>
      </c>
      <c r="U306" s="2">
        <f t="shared" si="14"/>
        <v>0.15999988641906446</v>
      </c>
    </row>
    <row r="307" spans="1:21" x14ac:dyDescent="0.3">
      <c r="A307">
        <v>10306</v>
      </c>
      <c r="B307" t="s">
        <v>160</v>
      </c>
      <c r="C307" t="s">
        <v>161</v>
      </c>
      <c r="D307" t="s">
        <v>20</v>
      </c>
      <c r="E307">
        <v>18</v>
      </c>
      <c r="F307" t="s">
        <v>54</v>
      </c>
      <c r="G307" t="s">
        <v>22</v>
      </c>
      <c r="H307" t="s">
        <v>23</v>
      </c>
      <c r="I307" t="s">
        <v>24</v>
      </c>
      <c r="J307">
        <v>15</v>
      </c>
      <c r="K307" s="1">
        <v>45921</v>
      </c>
      <c r="L307" s="1">
        <v>45927</v>
      </c>
      <c r="M307" t="s">
        <v>76</v>
      </c>
      <c r="N307" t="s">
        <v>51</v>
      </c>
      <c r="O307">
        <v>428016.63</v>
      </c>
      <c r="P307">
        <v>291051.31</v>
      </c>
      <c r="Q307">
        <v>136965.32</v>
      </c>
      <c r="R307" t="s">
        <v>32</v>
      </c>
      <c r="S307">
        <f t="shared" si="12"/>
        <v>6</v>
      </c>
      <c r="T307" s="2">
        <f t="shared" si="13"/>
        <v>0.68000000373817249</v>
      </c>
      <c r="U307" s="2">
        <f t="shared" si="14"/>
        <v>0.31999999626182751</v>
      </c>
    </row>
    <row r="308" spans="1:21" x14ac:dyDescent="0.3">
      <c r="A308">
        <v>10307</v>
      </c>
      <c r="B308" t="s">
        <v>33</v>
      </c>
      <c r="C308" t="s">
        <v>34</v>
      </c>
      <c r="D308" t="s">
        <v>20</v>
      </c>
      <c r="E308">
        <v>26</v>
      </c>
      <c r="F308" t="s">
        <v>35</v>
      </c>
      <c r="G308" t="s">
        <v>55</v>
      </c>
      <c r="H308" t="s">
        <v>56</v>
      </c>
      <c r="I308" t="s">
        <v>49</v>
      </c>
      <c r="J308">
        <v>10</v>
      </c>
      <c r="K308" s="1">
        <v>45850</v>
      </c>
      <c r="L308" s="1">
        <v>45861</v>
      </c>
      <c r="M308" t="s">
        <v>101</v>
      </c>
      <c r="N308" t="s">
        <v>26</v>
      </c>
      <c r="O308">
        <v>52463.15</v>
      </c>
      <c r="P308">
        <v>41970.52</v>
      </c>
      <c r="Q308">
        <v>10492.63</v>
      </c>
      <c r="R308" t="s">
        <v>32</v>
      </c>
      <c r="S308">
        <f t="shared" si="12"/>
        <v>11</v>
      </c>
      <c r="T308" s="2">
        <f t="shared" si="13"/>
        <v>0.79999999999999993</v>
      </c>
      <c r="U308" s="2">
        <f t="shared" si="14"/>
        <v>0.19999999999999998</v>
      </c>
    </row>
    <row r="309" spans="1:21" x14ac:dyDescent="0.3">
      <c r="A309">
        <v>10308</v>
      </c>
      <c r="B309" t="s">
        <v>73</v>
      </c>
      <c r="C309" t="s">
        <v>74</v>
      </c>
      <c r="D309" t="s">
        <v>20</v>
      </c>
      <c r="E309">
        <v>53</v>
      </c>
      <c r="F309" t="s">
        <v>75</v>
      </c>
      <c r="G309" t="s">
        <v>36</v>
      </c>
      <c r="H309" t="s">
        <v>37</v>
      </c>
      <c r="I309" t="s">
        <v>24</v>
      </c>
      <c r="J309">
        <v>12</v>
      </c>
      <c r="K309" s="1">
        <v>45757</v>
      </c>
      <c r="L309" s="1">
        <v>45769</v>
      </c>
      <c r="M309" t="s">
        <v>25</v>
      </c>
      <c r="N309" t="s">
        <v>26</v>
      </c>
      <c r="O309">
        <v>198317.91</v>
      </c>
      <c r="P309">
        <v>160637.51</v>
      </c>
      <c r="Q309">
        <v>37680.400000000001</v>
      </c>
      <c r="R309" t="s">
        <v>32</v>
      </c>
      <c r="S309">
        <f t="shared" si="12"/>
        <v>12</v>
      </c>
      <c r="T309" s="2">
        <f t="shared" si="13"/>
        <v>0.81000001462298588</v>
      </c>
      <c r="U309" s="2">
        <f t="shared" si="14"/>
        <v>0.18999998537701412</v>
      </c>
    </row>
    <row r="310" spans="1:21" x14ac:dyDescent="0.3">
      <c r="A310">
        <v>10309</v>
      </c>
      <c r="B310" t="s">
        <v>18</v>
      </c>
      <c r="C310" t="s">
        <v>19</v>
      </c>
      <c r="D310" t="s">
        <v>20</v>
      </c>
      <c r="E310">
        <v>45</v>
      </c>
      <c r="F310" t="s">
        <v>21</v>
      </c>
      <c r="G310" t="s">
        <v>55</v>
      </c>
      <c r="H310" t="s">
        <v>56</v>
      </c>
      <c r="I310" t="s">
        <v>49</v>
      </c>
      <c r="J310">
        <v>10</v>
      </c>
      <c r="K310" s="1">
        <v>45858</v>
      </c>
      <c r="L310" s="1">
        <v>45872</v>
      </c>
      <c r="M310" t="s">
        <v>101</v>
      </c>
      <c r="N310" t="s">
        <v>51</v>
      </c>
      <c r="O310">
        <v>21257.59</v>
      </c>
      <c r="P310">
        <v>14455.16</v>
      </c>
      <c r="Q310">
        <v>6802.43</v>
      </c>
      <c r="R310" t="s">
        <v>32</v>
      </c>
      <c r="S310">
        <f t="shared" si="12"/>
        <v>14</v>
      </c>
      <c r="T310" s="2">
        <f t="shared" si="13"/>
        <v>0.67999994354957449</v>
      </c>
      <c r="U310" s="2">
        <f t="shared" si="14"/>
        <v>0.32000005645042551</v>
      </c>
    </row>
    <row r="311" spans="1:21" x14ac:dyDescent="0.3">
      <c r="A311">
        <v>10310</v>
      </c>
      <c r="B311" t="s">
        <v>146</v>
      </c>
      <c r="C311" t="s">
        <v>147</v>
      </c>
      <c r="D311" t="s">
        <v>30</v>
      </c>
      <c r="E311">
        <v>75</v>
      </c>
      <c r="F311" t="s">
        <v>84</v>
      </c>
      <c r="G311" t="s">
        <v>55</v>
      </c>
      <c r="H311" t="s">
        <v>56</v>
      </c>
      <c r="I311" t="s">
        <v>49</v>
      </c>
      <c r="J311">
        <v>10</v>
      </c>
      <c r="K311" s="1">
        <v>45893</v>
      </c>
      <c r="L311" s="1">
        <v>45907</v>
      </c>
      <c r="M311" t="s">
        <v>85</v>
      </c>
      <c r="N311" t="s">
        <v>26</v>
      </c>
      <c r="O311">
        <v>58195.63</v>
      </c>
      <c r="P311">
        <v>43646.720000000001</v>
      </c>
      <c r="Q311">
        <v>14548.91</v>
      </c>
      <c r="R311" t="s">
        <v>27</v>
      </c>
      <c r="S311">
        <f t="shared" si="12"/>
        <v>14</v>
      </c>
      <c r="T311" s="2">
        <f t="shared" si="13"/>
        <v>0.74999995704144806</v>
      </c>
      <c r="U311" s="2">
        <f t="shared" si="14"/>
        <v>0.25000004295855205</v>
      </c>
    </row>
    <row r="312" spans="1:21" x14ac:dyDescent="0.3">
      <c r="A312">
        <v>10311</v>
      </c>
      <c r="B312" t="s">
        <v>18</v>
      </c>
      <c r="C312" t="s">
        <v>19</v>
      </c>
      <c r="D312" t="s">
        <v>20</v>
      </c>
      <c r="E312">
        <v>45</v>
      </c>
      <c r="F312" t="s">
        <v>21</v>
      </c>
      <c r="G312" t="s">
        <v>70</v>
      </c>
      <c r="H312" t="s">
        <v>71</v>
      </c>
      <c r="I312" t="s">
        <v>43</v>
      </c>
      <c r="J312">
        <v>11</v>
      </c>
      <c r="K312" s="1">
        <v>45739</v>
      </c>
      <c r="L312" s="1">
        <v>45741</v>
      </c>
      <c r="M312" t="s">
        <v>44</v>
      </c>
      <c r="N312" t="s">
        <v>26</v>
      </c>
      <c r="O312">
        <v>25769.93</v>
      </c>
      <c r="P312">
        <v>19842.849999999999</v>
      </c>
      <c r="Q312">
        <v>5927.08</v>
      </c>
      <c r="R312" t="s">
        <v>27</v>
      </c>
      <c r="S312">
        <f t="shared" si="12"/>
        <v>2</v>
      </c>
      <c r="T312" s="2">
        <f t="shared" si="13"/>
        <v>0.77000015133917699</v>
      </c>
      <c r="U312" s="2">
        <f t="shared" si="14"/>
        <v>0.2299998486608229</v>
      </c>
    </row>
    <row r="313" spans="1:21" x14ac:dyDescent="0.3">
      <c r="A313">
        <v>10312</v>
      </c>
      <c r="B313" t="s">
        <v>99</v>
      </c>
      <c r="C313" t="s">
        <v>100</v>
      </c>
      <c r="D313" t="s">
        <v>30</v>
      </c>
      <c r="E313">
        <v>68</v>
      </c>
      <c r="F313" t="s">
        <v>69</v>
      </c>
      <c r="G313" t="s">
        <v>55</v>
      </c>
      <c r="H313" t="s">
        <v>56</v>
      </c>
      <c r="I313" t="s">
        <v>49</v>
      </c>
      <c r="J313">
        <v>10</v>
      </c>
      <c r="K313" s="1">
        <v>45757</v>
      </c>
      <c r="L313" s="1">
        <v>45770</v>
      </c>
      <c r="M313" t="s">
        <v>85</v>
      </c>
      <c r="N313" t="s">
        <v>26</v>
      </c>
      <c r="O313">
        <v>94040.15</v>
      </c>
      <c r="P313">
        <v>63006.9</v>
      </c>
      <c r="Q313">
        <v>31033.25</v>
      </c>
      <c r="R313" t="s">
        <v>32</v>
      </c>
      <c r="S313">
        <f t="shared" si="12"/>
        <v>13</v>
      </c>
      <c r="T313" s="2">
        <f t="shared" si="13"/>
        <v>0.6699999946831221</v>
      </c>
      <c r="U313" s="2">
        <f t="shared" si="14"/>
        <v>0.33000000531687795</v>
      </c>
    </row>
    <row r="314" spans="1:21" x14ac:dyDescent="0.3">
      <c r="A314">
        <v>10313</v>
      </c>
      <c r="B314" t="s">
        <v>67</v>
      </c>
      <c r="C314" t="s">
        <v>68</v>
      </c>
      <c r="D314" t="s">
        <v>20</v>
      </c>
      <c r="E314">
        <v>33</v>
      </c>
      <c r="F314" t="s">
        <v>69</v>
      </c>
      <c r="G314" t="s">
        <v>22</v>
      </c>
      <c r="H314" t="s">
        <v>23</v>
      </c>
      <c r="I314" t="s">
        <v>24</v>
      </c>
      <c r="J314">
        <v>15</v>
      </c>
      <c r="K314" s="1">
        <v>45952</v>
      </c>
      <c r="L314" s="1">
        <v>45963</v>
      </c>
      <c r="M314" t="s">
        <v>76</v>
      </c>
      <c r="N314" t="s">
        <v>26</v>
      </c>
      <c r="O314">
        <v>380762.43</v>
      </c>
      <c r="P314">
        <v>262726.08</v>
      </c>
      <c r="Q314">
        <v>118036.35</v>
      </c>
      <c r="R314" t="s">
        <v>32</v>
      </c>
      <c r="S314">
        <f t="shared" si="12"/>
        <v>11</v>
      </c>
      <c r="T314" s="2">
        <f t="shared" si="13"/>
        <v>0.69000000866682154</v>
      </c>
      <c r="U314" s="2">
        <f t="shared" si="14"/>
        <v>0.30999999133317857</v>
      </c>
    </row>
    <row r="315" spans="1:21" x14ac:dyDescent="0.3">
      <c r="A315">
        <v>10314</v>
      </c>
      <c r="B315" t="s">
        <v>125</v>
      </c>
      <c r="C315" t="s">
        <v>126</v>
      </c>
      <c r="D315" t="s">
        <v>30</v>
      </c>
      <c r="E315">
        <v>73</v>
      </c>
      <c r="F315" t="s">
        <v>21</v>
      </c>
      <c r="G315" t="s">
        <v>22</v>
      </c>
      <c r="H315" t="s">
        <v>23</v>
      </c>
      <c r="I315" t="s">
        <v>24</v>
      </c>
      <c r="J315">
        <v>15</v>
      </c>
      <c r="K315" s="1">
        <v>45996</v>
      </c>
      <c r="L315" s="1">
        <v>46007</v>
      </c>
      <c r="M315" t="s">
        <v>25</v>
      </c>
      <c r="N315" t="s">
        <v>26</v>
      </c>
      <c r="O315">
        <v>205175.43</v>
      </c>
      <c r="P315">
        <v>125157.01</v>
      </c>
      <c r="Q315">
        <v>80018.42</v>
      </c>
      <c r="R315" t="s">
        <v>27</v>
      </c>
      <c r="S315">
        <f t="shared" si="12"/>
        <v>11</v>
      </c>
      <c r="T315" s="2">
        <f t="shared" si="13"/>
        <v>0.60999998879008077</v>
      </c>
      <c r="U315" s="2">
        <f t="shared" si="14"/>
        <v>0.39000001120991923</v>
      </c>
    </row>
    <row r="316" spans="1:21" x14ac:dyDescent="0.3">
      <c r="A316">
        <v>10315</v>
      </c>
      <c r="B316" t="s">
        <v>117</v>
      </c>
      <c r="C316" t="s">
        <v>118</v>
      </c>
      <c r="D316" t="s">
        <v>20</v>
      </c>
      <c r="E316">
        <v>65</v>
      </c>
      <c r="F316" t="s">
        <v>119</v>
      </c>
      <c r="G316" t="s">
        <v>36</v>
      </c>
      <c r="H316" t="s">
        <v>37</v>
      </c>
      <c r="I316" t="s">
        <v>24</v>
      </c>
      <c r="J316">
        <v>12</v>
      </c>
      <c r="K316" s="1">
        <v>45951</v>
      </c>
      <c r="L316" s="1">
        <v>45958</v>
      </c>
      <c r="M316" t="s">
        <v>25</v>
      </c>
      <c r="N316" t="s">
        <v>51</v>
      </c>
      <c r="O316">
        <v>183619.4</v>
      </c>
      <c r="P316">
        <v>135878.35999999999</v>
      </c>
      <c r="Q316">
        <v>47741.04</v>
      </c>
      <c r="R316" t="s">
        <v>32</v>
      </c>
      <c r="S316">
        <f t="shared" si="12"/>
        <v>7</v>
      </c>
      <c r="T316" s="2">
        <f t="shared" si="13"/>
        <v>0.74000002178419055</v>
      </c>
      <c r="U316" s="2">
        <f t="shared" si="14"/>
        <v>0.25999997821580945</v>
      </c>
    </row>
    <row r="317" spans="1:21" x14ac:dyDescent="0.3">
      <c r="A317">
        <v>10316</v>
      </c>
      <c r="B317" t="s">
        <v>64</v>
      </c>
      <c r="C317" t="s">
        <v>65</v>
      </c>
      <c r="D317" t="s">
        <v>20</v>
      </c>
      <c r="E317">
        <v>27</v>
      </c>
      <c r="F317" t="s">
        <v>31</v>
      </c>
      <c r="G317" t="s">
        <v>55</v>
      </c>
      <c r="H317" t="s">
        <v>56</v>
      </c>
      <c r="I317" t="s">
        <v>49</v>
      </c>
      <c r="J317">
        <v>10</v>
      </c>
      <c r="K317" s="1">
        <v>45845</v>
      </c>
      <c r="L317" s="1">
        <v>45847</v>
      </c>
      <c r="M317" t="s">
        <v>85</v>
      </c>
      <c r="N317" t="s">
        <v>26</v>
      </c>
      <c r="O317">
        <v>132207.74</v>
      </c>
      <c r="P317">
        <v>91223.34</v>
      </c>
      <c r="Q317">
        <v>40984.400000000001</v>
      </c>
      <c r="R317" t="s">
        <v>32</v>
      </c>
      <c r="S317">
        <f t="shared" si="12"/>
        <v>2</v>
      </c>
      <c r="T317" s="2">
        <f t="shared" si="13"/>
        <v>0.68999999546168778</v>
      </c>
      <c r="U317" s="2">
        <f t="shared" si="14"/>
        <v>0.31000000453831222</v>
      </c>
    </row>
    <row r="318" spans="1:21" x14ac:dyDescent="0.3">
      <c r="A318">
        <v>10317</v>
      </c>
      <c r="B318" t="s">
        <v>127</v>
      </c>
      <c r="C318" t="s">
        <v>128</v>
      </c>
      <c r="D318" t="s">
        <v>20</v>
      </c>
      <c r="E318">
        <v>41</v>
      </c>
      <c r="F318" t="s">
        <v>54</v>
      </c>
      <c r="G318" t="s">
        <v>22</v>
      </c>
      <c r="H318" t="s">
        <v>23</v>
      </c>
      <c r="I318" t="s">
        <v>24</v>
      </c>
      <c r="J318">
        <v>15</v>
      </c>
      <c r="K318" s="1">
        <v>45942</v>
      </c>
      <c r="L318" s="1">
        <v>45956</v>
      </c>
      <c r="M318" t="s">
        <v>66</v>
      </c>
      <c r="N318" t="s">
        <v>26</v>
      </c>
      <c r="O318">
        <v>35426.720000000001</v>
      </c>
      <c r="P318">
        <v>21610.3</v>
      </c>
      <c r="Q318">
        <v>13816.42</v>
      </c>
      <c r="R318" t="s">
        <v>32</v>
      </c>
      <c r="S318">
        <f t="shared" si="12"/>
        <v>14</v>
      </c>
      <c r="T318" s="2">
        <f t="shared" si="13"/>
        <v>0.61000002258182517</v>
      </c>
      <c r="U318" s="2">
        <f t="shared" si="14"/>
        <v>0.38999997741817477</v>
      </c>
    </row>
    <row r="319" spans="1:21" x14ac:dyDescent="0.3">
      <c r="A319">
        <v>10318</v>
      </c>
      <c r="B319" t="s">
        <v>160</v>
      </c>
      <c r="C319" t="s">
        <v>161</v>
      </c>
      <c r="D319" t="s">
        <v>20</v>
      </c>
      <c r="E319">
        <v>18</v>
      </c>
      <c r="F319" t="s">
        <v>54</v>
      </c>
      <c r="G319" t="s">
        <v>47</v>
      </c>
      <c r="H319" t="s">
        <v>48</v>
      </c>
      <c r="I319" t="s">
        <v>49</v>
      </c>
      <c r="J319">
        <v>8</v>
      </c>
      <c r="K319" s="1">
        <v>45809</v>
      </c>
      <c r="L319" s="1">
        <v>45818</v>
      </c>
      <c r="M319" t="s">
        <v>101</v>
      </c>
      <c r="N319" t="s">
        <v>26</v>
      </c>
      <c r="O319">
        <v>50904.02</v>
      </c>
      <c r="P319">
        <v>35123.769999999997</v>
      </c>
      <c r="Q319">
        <v>15780.25</v>
      </c>
      <c r="R319" t="s">
        <v>27</v>
      </c>
      <c r="S319">
        <f t="shared" si="12"/>
        <v>9</v>
      </c>
      <c r="T319" s="2">
        <f t="shared" si="13"/>
        <v>0.68999992534970711</v>
      </c>
      <c r="U319" s="2">
        <f t="shared" si="14"/>
        <v>0.31000007465029289</v>
      </c>
    </row>
    <row r="320" spans="1:21" x14ac:dyDescent="0.3">
      <c r="A320">
        <v>10319</v>
      </c>
      <c r="B320" t="s">
        <v>18</v>
      </c>
      <c r="C320" t="s">
        <v>19</v>
      </c>
      <c r="D320" t="s">
        <v>20</v>
      </c>
      <c r="E320">
        <v>45</v>
      </c>
      <c r="F320" t="s">
        <v>21</v>
      </c>
      <c r="G320" t="s">
        <v>41</v>
      </c>
      <c r="H320" t="s">
        <v>42</v>
      </c>
      <c r="I320" t="s">
        <v>43</v>
      </c>
      <c r="J320">
        <v>9</v>
      </c>
      <c r="K320" s="1">
        <v>46002</v>
      </c>
      <c r="L320" s="1">
        <v>46010</v>
      </c>
      <c r="M320" t="s">
        <v>112</v>
      </c>
      <c r="N320" t="s">
        <v>26</v>
      </c>
      <c r="O320">
        <v>53699.12</v>
      </c>
      <c r="P320">
        <v>40811.33</v>
      </c>
      <c r="Q320">
        <v>12887.79</v>
      </c>
      <c r="R320" t="s">
        <v>32</v>
      </c>
      <c r="S320">
        <f t="shared" si="12"/>
        <v>8</v>
      </c>
      <c r="T320" s="2">
        <f t="shared" si="13"/>
        <v>0.7599999776532651</v>
      </c>
      <c r="U320" s="2">
        <f t="shared" si="14"/>
        <v>0.24000002234673493</v>
      </c>
    </row>
    <row r="321" spans="1:21" x14ac:dyDescent="0.3">
      <c r="A321">
        <v>10320</v>
      </c>
      <c r="B321" t="s">
        <v>115</v>
      </c>
      <c r="C321" t="s">
        <v>116</v>
      </c>
      <c r="D321" t="s">
        <v>30</v>
      </c>
      <c r="E321">
        <v>18</v>
      </c>
      <c r="F321" t="s">
        <v>31</v>
      </c>
      <c r="G321" t="s">
        <v>55</v>
      </c>
      <c r="H321" t="s">
        <v>56</v>
      </c>
      <c r="I321" t="s">
        <v>49</v>
      </c>
      <c r="J321">
        <v>10</v>
      </c>
      <c r="K321" s="1">
        <v>45815</v>
      </c>
      <c r="L321" s="1">
        <v>45828</v>
      </c>
      <c r="M321" t="s">
        <v>85</v>
      </c>
      <c r="N321" t="s">
        <v>26</v>
      </c>
      <c r="O321">
        <v>64804.72</v>
      </c>
      <c r="P321">
        <v>50547.68</v>
      </c>
      <c r="Q321">
        <v>14257.04</v>
      </c>
      <c r="R321" t="s">
        <v>32</v>
      </c>
      <c r="S321">
        <f t="shared" si="12"/>
        <v>13</v>
      </c>
      <c r="T321" s="2">
        <f t="shared" si="13"/>
        <v>0.7799999753104403</v>
      </c>
      <c r="U321" s="2">
        <f t="shared" si="14"/>
        <v>0.22000002468955965</v>
      </c>
    </row>
    <row r="322" spans="1:21" x14ac:dyDescent="0.3">
      <c r="A322">
        <v>10321</v>
      </c>
      <c r="B322" t="s">
        <v>57</v>
      </c>
      <c r="C322" t="s">
        <v>58</v>
      </c>
      <c r="D322" t="s">
        <v>20</v>
      </c>
      <c r="E322">
        <v>45</v>
      </c>
      <c r="F322" t="s">
        <v>59</v>
      </c>
      <c r="G322" t="s">
        <v>60</v>
      </c>
      <c r="H322" t="s">
        <v>61</v>
      </c>
      <c r="I322" t="s">
        <v>62</v>
      </c>
      <c r="J322">
        <v>18</v>
      </c>
      <c r="K322" s="1">
        <v>45986</v>
      </c>
      <c r="L322" s="1">
        <v>45997</v>
      </c>
      <c r="M322" t="s">
        <v>77</v>
      </c>
      <c r="N322" t="s">
        <v>51</v>
      </c>
      <c r="O322">
        <v>59511.98</v>
      </c>
      <c r="P322">
        <v>42848.63</v>
      </c>
      <c r="Q322">
        <v>16663.349999999999</v>
      </c>
      <c r="R322" t="s">
        <v>32</v>
      </c>
      <c r="S322">
        <f t="shared" si="12"/>
        <v>11</v>
      </c>
      <c r="T322" s="2">
        <f t="shared" si="13"/>
        <v>0.72000007393469345</v>
      </c>
      <c r="U322" s="2">
        <f t="shared" si="14"/>
        <v>0.27999992606530649</v>
      </c>
    </row>
    <row r="323" spans="1:21" x14ac:dyDescent="0.3">
      <c r="A323">
        <v>10322</v>
      </c>
      <c r="B323" t="s">
        <v>18</v>
      </c>
      <c r="C323" t="s">
        <v>19</v>
      </c>
      <c r="D323" t="s">
        <v>20</v>
      </c>
      <c r="E323">
        <v>45</v>
      </c>
      <c r="F323" t="s">
        <v>21</v>
      </c>
      <c r="G323" t="s">
        <v>55</v>
      </c>
      <c r="H323" t="s">
        <v>56</v>
      </c>
      <c r="I323" t="s">
        <v>49</v>
      </c>
      <c r="J323">
        <v>10</v>
      </c>
      <c r="K323" s="1">
        <v>45775</v>
      </c>
      <c r="L323" s="1">
        <v>45786</v>
      </c>
      <c r="M323" t="s">
        <v>85</v>
      </c>
      <c r="N323" t="s">
        <v>51</v>
      </c>
      <c r="O323">
        <v>52638.26</v>
      </c>
      <c r="P323">
        <v>31582.959999999999</v>
      </c>
      <c r="Q323">
        <v>21055.3</v>
      </c>
      <c r="R323" t="s">
        <v>32</v>
      </c>
      <c r="S323">
        <f t="shared" ref="S323:S386" si="15">L323-K323</f>
        <v>11</v>
      </c>
      <c r="T323" s="2">
        <f t="shared" ref="T323:T386" si="16">P323/O323</f>
        <v>0.60000007599035377</v>
      </c>
      <c r="U323" s="2">
        <f t="shared" ref="U323:U386" si="17">Q323/O323</f>
        <v>0.39999992400964618</v>
      </c>
    </row>
    <row r="324" spans="1:21" x14ac:dyDescent="0.3">
      <c r="A324">
        <v>10323</v>
      </c>
      <c r="B324" t="s">
        <v>120</v>
      </c>
      <c r="C324" t="s">
        <v>74</v>
      </c>
      <c r="D324" t="s">
        <v>20</v>
      </c>
      <c r="E324">
        <v>61</v>
      </c>
      <c r="F324" t="s">
        <v>69</v>
      </c>
      <c r="G324" t="s">
        <v>55</v>
      </c>
      <c r="H324" t="s">
        <v>56</v>
      </c>
      <c r="I324" t="s">
        <v>49</v>
      </c>
      <c r="J324">
        <v>10</v>
      </c>
      <c r="K324" s="1">
        <v>45816</v>
      </c>
      <c r="L324" s="1">
        <v>45822</v>
      </c>
      <c r="M324" t="s">
        <v>101</v>
      </c>
      <c r="N324" t="s">
        <v>26</v>
      </c>
      <c r="O324">
        <v>40203.32</v>
      </c>
      <c r="P324">
        <v>24121.99</v>
      </c>
      <c r="Q324">
        <v>16081.33</v>
      </c>
      <c r="R324" t="s">
        <v>32</v>
      </c>
      <c r="S324">
        <f t="shared" si="15"/>
        <v>6</v>
      </c>
      <c r="T324" s="2">
        <f t="shared" si="16"/>
        <v>0.59999995025286468</v>
      </c>
      <c r="U324" s="2">
        <f t="shared" si="17"/>
        <v>0.40000004974713532</v>
      </c>
    </row>
    <row r="325" spans="1:21" x14ac:dyDescent="0.3">
      <c r="A325">
        <v>10324</v>
      </c>
      <c r="B325" t="s">
        <v>99</v>
      </c>
      <c r="C325" t="s">
        <v>100</v>
      </c>
      <c r="D325" t="s">
        <v>30</v>
      </c>
      <c r="E325">
        <v>68</v>
      </c>
      <c r="F325" t="s">
        <v>69</v>
      </c>
      <c r="G325" t="s">
        <v>41</v>
      </c>
      <c r="H325" t="s">
        <v>42</v>
      </c>
      <c r="I325" t="s">
        <v>43</v>
      </c>
      <c r="J325">
        <v>9</v>
      </c>
      <c r="K325" s="1">
        <v>45861</v>
      </c>
      <c r="L325" s="1">
        <v>45868</v>
      </c>
      <c r="M325" t="s">
        <v>112</v>
      </c>
      <c r="N325" t="s">
        <v>26</v>
      </c>
      <c r="O325">
        <v>64651.88</v>
      </c>
      <c r="P325">
        <v>42023.72</v>
      </c>
      <c r="Q325">
        <v>22628.16</v>
      </c>
      <c r="R325" t="s">
        <v>32</v>
      </c>
      <c r="S325">
        <f t="shared" si="15"/>
        <v>7</v>
      </c>
      <c r="T325" s="2">
        <f t="shared" si="16"/>
        <v>0.64999996906509139</v>
      </c>
      <c r="U325" s="2">
        <f t="shared" si="17"/>
        <v>0.35000003093490861</v>
      </c>
    </row>
    <row r="326" spans="1:21" x14ac:dyDescent="0.3">
      <c r="A326">
        <v>10325</v>
      </c>
      <c r="B326" t="s">
        <v>86</v>
      </c>
      <c r="C326" t="s">
        <v>87</v>
      </c>
      <c r="D326" t="s">
        <v>30</v>
      </c>
      <c r="E326">
        <v>23</v>
      </c>
      <c r="F326" t="s">
        <v>31</v>
      </c>
      <c r="G326" t="s">
        <v>47</v>
      </c>
      <c r="H326" t="s">
        <v>48</v>
      </c>
      <c r="I326" t="s">
        <v>49</v>
      </c>
      <c r="J326">
        <v>8</v>
      </c>
      <c r="K326" s="1">
        <v>45811</v>
      </c>
      <c r="L326" s="1">
        <v>45819</v>
      </c>
      <c r="M326" t="s">
        <v>50</v>
      </c>
      <c r="N326" t="s">
        <v>26</v>
      </c>
      <c r="O326">
        <v>209766.82</v>
      </c>
      <c r="P326">
        <v>130055.43</v>
      </c>
      <c r="Q326">
        <v>79711.39</v>
      </c>
      <c r="R326" t="s">
        <v>32</v>
      </c>
      <c r="S326">
        <f t="shared" si="15"/>
        <v>8</v>
      </c>
      <c r="T326" s="2">
        <f t="shared" si="16"/>
        <v>0.62000000762751706</v>
      </c>
      <c r="U326" s="2">
        <f t="shared" si="17"/>
        <v>0.37999999237248294</v>
      </c>
    </row>
    <row r="327" spans="1:21" x14ac:dyDescent="0.3">
      <c r="A327">
        <v>10326</v>
      </c>
      <c r="B327" t="s">
        <v>162</v>
      </c>
      <c r="C327" t="s">
        <v>91</v>
      </c>
      <c r="D327" t="s">
        <v>30</v>
      </c>
      <c r="E327">
        <v>39</v>
      </c>
      <c r="F327" t="s">
        <v>119</v>
      </c>
      <c r="G327" t="s">
        <v>41</v>
      </c>
      <c r="H327" t="s">
        <v>42</v>
      </c>
      <c r="I327" t="s">
        <v>43</v>
      </c>
      <c r="J327">
        <v>9</v>
      </c>
      <c r="K327" s="1">
        <v>45821</v>
      </c>
      <c r="L327" s="1">
        <v>45829</v>
      </c>
      <c r="M327" t="s">
        <v>44</v>
      </c>
      <c r="N327" t="s">
        <v>26</v>
      </c>
      <c r="O327">
        <v>18129.52</v>
      </c>
      <c r="P327">
        <v>14503.62</v>
      </c>
      <c r="Q327">
        <v>3625.9</v>
      </c>
      <c r="R327" t="s">
        <v>32</v>
      </c>
      <c r="S327">
        <f t="shared" si="15"/>
        <v>8</v>
      </c>
      <c r="T327" s="2">
        <f t="shared" si="16"/>
        <v>0.8000002206346335</v>
      </c>
      <c r="U327" s="2">
        <f t="shared" si="17"/>
        <v>0.19999977936536653</v>
      </c>
    </row>
    <row r="328" spans="1:21" x14ac:dyDescent="0.3">
      <c r="A328">
        <v>10327</v>
      </c>
      <c r="B328" t="s">
        <v>115</v>
      </c>
      <c r="C328" t="s">
        <v>116</v>
      </c>
      <c r="D328" t="s">
        <v>30</v>
      </c>
      <c r="E328">
        <v>18</v>
      </c>
      <c r="F328" t="s">
        <v>31</v>
      </c>
      <c r="G328" t="s">
        <v>60</v>
      </c>
      <c r="H328" t="s">
        <v>61</v>
      </c>
      <c r="I328" t="s">
        <v>62</v>
      </c>
      <c r="J328">
        <v>18</v>
      </c>
      <c r="K328" s="1">
        <v>45755</v>
      </c>
      <c r="L328" s="1">
        <v>45767</v>
      </c>
      <c r="M328" t="s">
        <v>96</v>
      </c>
      <c r="N328" t="s">
        <v>51</v>
      </c>
      <c r="O328">
        <v>152236.54</v>
      </c>
      <c r="P328">
        <v>103520.85</v>
      </c>
      <c r="Q328">
        <v>48715.69</v>
      </c>
      <c r="R328" t="s">
        <v>32</v>
      </c>
      <c r="S328">
        <f t="shared" si="15"/>
        <v>12</v>
      </c>
      <c r="T328" s="2">
        <f t="shared" si="16"/>
        <v>0.68000001839243063</v>
      </c>
      <c r="U328" s="2">
        <f t="shared" si="17"/>
        <v>0.31999998160756937</v>
      </c>
    </row>
    <row r="329" spans="1:21" x14ac:dyDescent="0.3">
      <c r="A329">
        <v>10328</v>
      </c>
      <c r="B329" t="s">
        <v>131</v>
      </c>
      <c r="C329" t="s">
        <v>132</v>
      </c>
      <c r="D329" t="s">
        <v>20</v>
      </c>
      <c r="E329">
        <v>68</v>
      </c>
      <c r="F329" t="s">
        <v>31</v>
      </c>
      <c r="G329" t="s">
        <v>22</v>
      </c>
      <c r="H329" t="s">
        <v>23</v>
      </c>
      <c r="I329" t="s">
        <v>24</v>
      </c>
      <c r="J329">
        <v>15</v>
      </c>
      <c r="K329" s="1">
        <v>45746</v>
      </c>
      <c r="L329" s="1">
        <v>45759</v>
      </c>
      <c r="M329" t="s">
        <v>25</v>
      </c>
      <c r="N329" t="s">
        <v>26</v>
      </c>
      <c r="O329">
        <v>233919.1</v>
      </c>
      <c r="P329">
        <v>163743.37</v>
      </c>
      <c r="Q329">
        <v>70175.73</v>
      </c>
      <c r="R329" t="s">
        <v>32</v>
      </c>
      <c r="S329">
        <f t="shared" si="15"/>
        <v>13</v>
      </c>
      <c r="T329" s="2">
        <f t="shared" si="16"/>
        <v>0.7</v>
      </c>
      <c r="U329" s="2">
        <f t="shared" si="17"/>
        <v>0.3</v>
      </c>
    </row>
    <row r="330" spans="1:21" x14ac:dyDescent="0.3">
      <c r="A330">
        <v>10329</v>
      </c>
      <c r="B330" t="s">
        <v>144</v>
      </c>
      <c r="C330" t="s">
        <v>145</v>
      </c>
      <c r="D330" t="s">
        <v>30</v>
      </c>
      <c r="E330">
        <v>37</v>
      </c>
      <c r="F330" t="s">
        <v>40</v>
      </c>
      <c r="G330" t="s">
        <v>70</v>
      </c>
      <c r="H330" t="s">
        <v>71</v>
      </c>
      <c r="I330" t="s">
        <v>43</v>
      </c>
      <c r="J330">
        <v>11</v>
      </c>
      <c r="K330" s="1">
        <v>45894</v>
      </c>
      <c r="L330" s="1">
        <v>45905</v>
      </c>
      <c r="M330" t="s">
        <v>112</v>
      </c>
      <c r="N330" t="s">
        <v>26</v>
      </c>
      <c r="O330">
        <v>63140.14</v>
      </c>
      <c r="P330">
        <v>38515.49</v>
      </c>
      <c r="Q330">
        <v>24624.65</v>
      </c>
      <c r="R330" t="s">
        <v>32</v>
      </c>
      <c r="S330">
        <f t="shared" si="15"/>
        <v>11</v>
      </c>
      <c r="T330" s="2">
        <f t="shared" si="16"/>
        <v>0.61000007285381375</v>
      </c>
      <c r="U330" s="2">
        <f t="shared" si="17"/>
        <v>0.38999992714618625</v>
      </c>
    </row>
    <row r="331" spans="1:21" x14ac:dyDescent="0.3">
      <c r="A331">
        <v>10330</v>
      </c>
      <c r="B331" t="s">
        <v>78</v>
      </c>
      <c r="C331" t="s">
        <v>79</v>
      </c>
      <c r="D331" t="s">
        <v>20</v>
      </c>
      <c r="E331">
        <v>67</v>
      </c>
      <c r="F331" t="s">
        <v>35</v>
      </c>
      <c r="G331" t="s">
        <v>47</v>
      </c>
      <c r="H331" t="s">
        <v>48</v>
      </c>
      <c r="I331" t="s">
        <v>49</v>
      </c>
      <c r="J331">
        <v>8</v>
      </c>
      <c r="K331" s="1">
        <v>45990</v>
      </c>
      <c r="L331" s="1">
        <v>45996</v>
      </c>
      <c r="M331" t="s">
        <v>50</v>
      </c>
      <c r="N331" t="s">
        <v>26</v>
      </c>
      <c r="O331">
        <v>270565.01</v>
      </c>
      <c r="P331">
        <v>227274.61</v>
      </c>
      <c r="Q331">
        <v>43290.400000000001</v>
      </c>
      <c r="R331" t="s">
        <v>32</v>
      </c>
      <c r="S331">
        <f t="shared" si="15"/>
        <v>6</v>
      </c>
      <c r="T331" s="2">
        <f t="shared" si="16"/>
        <v>0.84000000591355095</v>
      </c>
      <c r="U331" s="2">
        <f t="shared" si="17"/>
        <v>0.15999999408644894</v>
      </c>
    </row>
    <row r="332" spans="1:21" x14ac:dyDescent="0.3">
      <c r="A332">
        <v>10331</v>
      </c>
      <c r="B332" t="s">
        <v>90</v>
      </c>
      <c r="C332" t="s">
        <v>91</v>
      </c>
      <c r="D332" t="s">
        <v>20</v>
      </c>
      <c r="E332">
        <v>48</v>
      </c>
      <c r="F332" t="s">
        <v>84</v>
      </c>
      <c r="G332" t="s">
        <v>47</v>
      </c>
      <c r="H332" t="s">
        <v>48</v>
      </c>
      <c r="I332" t="s">
        <v>49</v>
      </c>
      <c r="J332">
        <v>8</v>
      </c>
      <c r="K332" s="1">
        <v>45818</v>
      </c>
      <c r="L332" s="1">
        <v>45822</v>
      </c>
      <c r="M332" t="s">
        <v>101</v>
      </c>
      <c r="N332" t="s">
        <v>26</v>
      </c>
      <c r="O332">
        <v>54589.18</v>
      </c>
      <c r="P332">
        <v>36574.75</v>
      </c>
      <c r="Q332">
        <v>18014.43</v>
      </c>
      <c r="R332" t="s">
        <v>32</v>
      </c>
      <c r="S332">
        <f t="shared" si="15"/>
        <v>4</v>
      </c>
      <c r="T332" s="2">
        <f t="shared" si="16"/>
        <v>0.66999998900881086</v>
      </c>
      <c r="U332" s="2">
        <f t="shared" si="17"/>
        <v>0.33000001099118909</v>
      </c>
    </row>
    <row r="333" spans="1:21" x14ac:dyDescent="0.3">
      <c r="A333">
        <v>10332</v>
      </c>
      <c r="B333" t="s">
        <v>102</v>
      </c>
      <c r="C333" t="s">
        <v>103</v>
      </c>
      <c r="D333" t="s">
        <v>30</v>
      </c>
      <c r="E333">
        <v>59</v>
      </c>
      <c r="F333" t="s">
        <v>75</v>
      </c>
      <c r="G333" t="s">
        <v>60</v>
      </c>
      <c r="H333" t="s">
        <v>61</v>
      </c>
      <c r="I333" t="s">
        <v>62</v>
      </c>
      <c r="J333">
        <v>18</v>
      </c>
      <c r="K333" s="1">
        <v>45866</v>
      </c>
      <c r="L333" s="1">
        <v>45880</v>
      </c>
      <c r="M333" t="s">
        <v>63</v>
      </c>
      <c r="N333" t="s">
        <v>26</v>
      </c>
      <c r="O333">
        <v>28103.97</v>
      </c>
      <c r="P333">
        <v>17705.5</v>
      </c>
      <c r="Q333">
        <v>10398.469999999999</v>
      </c>
      <c r="R333" t="s">
        <v>32</v>
      </c>
      <c r="S333">
        <f t="shared" si="15"/>
        <v>14</v>
      </c>
      <c r="T333" s="2">
        <f t="shared" si="16"/>
        <v>0.62999996085962229</v>
      </c>
      <c r="U333" s="2">
        <f t="shared" si="17"/>
        <v>0.37000003914037766</v>
      </c>
    </row>
    <row r="334" spans="1:21" x14ac:dyDescent="0.3">
      <c r="A334">
        <v>10333</v>
      </c>
      <c r="B334" t="s">
        <v>82</v>
      </c>
      <c r="C334" t="s">
        <v>83</v>
      </c>
      <c r="D334" t="s">
        <v>20</v>
      </c>
      <c r="E334">
        <v>74</v>
      </c>
      <c r="F334" t="s">
        <v>84</v>
      </c>
      <c r="G334" t="s">
        <v>70</v>
      </c>
      <c r="H334" t="s">
        <v>71</v>
      </c>
      <c r="I334" t="s">
        <v>43</v>
      </c>
      <c r="J334">
        <v>11</v>
      </c>
      <c r="K334" s="1">
        <v>45948</v>
      </c>
      <c r="L334" s="1">
        <v>45960</v>
      </c>
      <c r="M334" t="s">
        <v>72</v>
      </c>
      <c r="N334" t="s">
        <v>51</v>
      </c>
      <c r="O334">
        <v>11608.13</v>
      </c>
      <c r="P334">
        <v>9286.5</v>
      </c>
      <c r="Q334">
        <v>2321.63</v>
      </c>
      <c r="R334" t="s">
        <v>32</v>
      </c>
      <c r="S334">
        <f t="shared" si="15"/>
        <v>12</v>
      </c>
      <c r="T334" s="2">
        <f t="shared" si="16"/>
        <v>0.79999965541392115</v>
      </c>
      <c r="U334" s="2">
        <f t="shared" si="17"/>
        <v>0.2000003445860789</v>
      </c>
    </row>
    <row r="335" spans="1:21" x14ac:dyDescent="0.3">
      <c r="A335">
        <v>10334</v>
      </c>
      <c r="B335" t="s">
        <v>108</v>
      </c>
      <c r="C335" t="s">
        <v>109</v>
      </c>
      <c r="D335" t="s">
        <v>20</v>
      </c>
      <c r="E335">
        <v>34</v>
      </c>
      <c r="F335" t="s">
        <v>40</v>
      </c>
      <c r="G335" t="s">
        <v>70</v>
      </c>
      <c r="H335" t="s">
        <v>71</v>
      </c>
      <c r="I335" t="s">
        <v>43</v>
      </c>
      <c r="J335">
        <v>11</v>
      </c>
      <c r="K335" s="1">
        <v>45907</v>
      </c>
      <c r="L335" s="1">
        <v>45921</v>
      </c>
      <c r="M335" t="s">
        <v>44</v>
      </c>
      <c r="N335" t="s">
        <v>26</v>
      </c>
      <c r="O335">
        <v>34930.949999999997</v>
      </c>
      <c r="P335">
        <v>24102.36</v>
      </c>
      <c r="Q335">
        <v>10828.59</v>
      </c>
      <c r="R335" t="s">
        <v>27</v>
      </c>
      <c r="S335">
        <f t="shared" si="15"/>
        <v>14</v>
      </c>
      <c r="T335" s="2">
        <f t="shared" si="16"/>
        <v>0.69000012882558315</v>
      </c>
      <c r="U335" s="2">
        <f t="shared" si="17"/>
        <v>0.30999987117441696</v>
      </c>
    </row>
    <row r="336" spans="1:21" x14ac:dyDescent="0.3">
      <c r="A336">
        <v>10335</v>
      </c>
      <c r="B336" t="s">
        <v>78</v>
      </c>
      <c r="C336" t="s">
        <v>79</v>
      </c>
      <c r="D336" t="s">
        <v>20</v>
      </c>
      <c r="E336">
        <v>67</v>
      </c>
      <c r="F336" t="s">
        <v>35</v>
      </c>
      <c r="G336" t="s">
        <v>60</v>
      </c>
      <c r="H336" t="s">
        <v>61</v>
      </c>
      <c r="I336" t="s">
        <v>62</v>
      </c>
      <c r="J336">
        <v>18</v>
      </c>
      <c r="K336" s="1">
        <v>45955</v>
      </c>
      <c r="L336" s="1">
        <v>45958</v>
      </c>
      <c r="M336" t="s">
        <v>63</v>
      </c>
      <c r="N336" t="s">
        <v>26</v>
      </c>
      <c r="O336">
        <v>33582.31</v>
      </c>
      <c r="P336">
        <v>25186.73</v>
      </c>
      <c r="Q336">
        <v>8395.58</v>
      </c>
      <c r="R336" t="s">
        <v>32</v>
      </c>
      <c r="S336">
        <f t="shared" si="15"/>
        <v>3</v>
      </c>
      <c r="T336" s="2">
        <f t="shared" si="16"/>
        <v>0.74999992555604422</v>
      </c>
      <c r="U336" s="2">
        <f t="shared" si="17"/>
        <v>0.25000007444395578</v>
      </c>
    </row>
    <row r="337" spans="1:21" x14ac:dyDescent="0.3">
      <c r="A337">
        <v>10336</v>
      </c>
      <c r="B337" t="s">
        <v>150</v>
      </c>
      <c r="C337" t="s">
        <v>151</v>
      </c>
      <c r="D337" t="s">
        <v>30</v>
      </c>
      <c r="E337">
        <v>47</v>
      </c>
      <c r="F337" t="s">
        <v>54</v>
      </c>
      <c r="G337" t="s">
        <v>60</v>
      </c>
      <c r="H337" t="s">
        <v>61</v>
      </c>
      <c r="I337" t="s">
        <v>62</v>
      </c>
      <c r="J337">
        <v>18</v>
      </c>
      <c r="K337" s="1">
        <v>45915</v>
      </c>
      <c r="L337" s="1">
        <v>45921</v>
      </c>
      <c r="M337" t="s">
        <v>96</v>
      </c>
      <c r="N337" t="s">
        <v>26</v>
      </c>
      <c r="O337">
        <v>293891.90000000002</v>
      </c>
      <c r="P337">
        <v>238052.44</v>
      </c>
      <c r="Q337">
        <v>55839.46</v>
      </c>
      <c r="R337" t="s">
        <v>32</v>
      </c>
      <c r="S337">
        <f t="shared" si="15"/>
        <v>6</v>
      </c>
      <c r="T337" s="2">
        <f t="shared" si="16"/>
        <v>0.81000000340261158</v>
      </c>
      <c r="U337" s="2">
        <f t="shared" si="17"/>
        <v>0.18999999659738834</v>
      </c>
    </row>
    <row r="338" spans="1:21" x14ac:dyDescent="0.3">
      <c r="A338">
        <v>10337</v>
      </c>
      <c r="B338" t="s">
        <v>143</v>
      </c>
      <c r="C338" t="s">
        <v>74</v>
      </c>
      <c r="D338" t="s">
        <v>20</v>
      </c>
      <c r="E338">
        <v>35</v>
      </c>
      <c r="F338" t="s">
        <v>119</v>
      </c>
      <c r="G338" t="s">
        <v>47</v>
      </c>
      <c r="H338" t="s">
        <v>48</v>
      </c>
      <c r="I338" t="s">
        <v>49</v>
      </c>
      <c r="J338">
        <v>8</v>
      </c>
      <c r="K338" s="1">
        <v>45786</v>
      </c>
      <c r="L338" s="1">
        <v>45793</v>
      </c>
      <c r="M338" t="s">
        <v>85</v>
      </c>
      <c r="N338" t="s">
        <v>26</v>
      </c>
      <c r="O338">
        <v>128264.06</v>
      </c>
      <c r="P338">
        <v>88502.2</v>
      </c>
      <c r="Q338">
        <v>39761.86</v>
      </c>
      <c r="R338" t="s">
        <v>32</v>
      </c>
      <c r="S338">
        <f t="shared" si="15"/>
        <v>7</v>
      </c>
      <c r="T338" s="2">
        <f t="shared" si="16"/>
        <v>0.68999998908501725</v>
      </c>
      <c r="U338" s="2">
        <f t="shared" si="17"/>
        <v>0.31000001091498275</v>
      </c>
    </row>
    <row r="339" spans="1:21" x14ac:dyDescent="0.3">
      <c r="A339">
        <v>10338</v>
      </c>
      <c r="B339" t="s">
        <v>127</v>
      </c>
      <c r="C339" t="s">
        <v>128</v>
      </c>
      <c r="D339" t="s">
        <v>20</v>
      </c>
      <c r="E339">
        <v>41</v>
      </c>
      <c r="F339" t="s">
        <v>54</v>
      </c>
      <c r="G339" t="s">
        <v>55</v>
      </c>
      <c r="H339" t="s">
        <v>56</v>
      </c>
      <c r="I339" t="s">
        <v>49</v>
      </c>
      <c r="J339">
        <v>10</v>
      </c>
      <c r="K339" s="1">
        <v>46006</v>
      </c>
      <c r="L339" s="1">
        <v>46012</v>
      </c>
      <c r="M339" t="s">
        <v>101</v>
      </c>
      <c r="N339" t="s">
        <v>51</v>
      </c>
      <c r="O339">
        <v>33719.65</v>
      </c>
      <c r="P339">
        <v>27987.31</v>
      </c>
      <c r="Q339">
        <v>5732.34</v>
      </c>
      <c r="R339" t="s">
        <v>32</v>
      </c>
      <c r="S339">
        <f t="shared" si="15"/>
        <v>6</v>
      </c>
      <c r="T339" s="2">
        <f t="shared" si="16"/>
        <v>0.83000001482814911</v>
      </c>
      <c r="U339" s="2">
        <f t="shared" si="17"/>
        <v>0.16999998517185083</v>
      </c>
    </row>
    <row r="340" spans="1:21" x14ac:dyDescent="0.3">
      <c r="A340">
        <v>10339</v>
      </c>
      <c r="B340" t="s">
        <v>144</v>
      </c>
      <c r="C340" t="s">
        <v>145</v>
      </c>
      <c r="D340" t="s">
        <v>30</v>
      </c>
      <c r="E340">
        <v>37</v>
      </c>
      <c r="F340" t="s">
        <v>40</v>
      </c>
      <c r="G340" t="s">
        <v>88</v>
      </c>
      <c r="H340" t="s">
        <v>89</v>
      </c>
      <c r="I340" t="s">
        <v>62</v>
      </c>
      <c r="J340">
        <v>14</v>
      </c>
      <c r="K340" s="1">
        <v>45805</v>
      </c>
      <c r="L340" s="1">
        <v>45819</v>
      </c>
      <c r="M340" t="s">
        <v>63</v>
      </c>
      <c r="N340" t="s">
        <v>26</v>
      </c>
      <c r="O340">
        <v>24606.93</v>
      </c>
      <c r="P340">
        <v>15502.37</v>
      </c>
      <c r="Q340">
        <v>9104.56</v>
      </c>
      <c r="R340" t="s">
        <v>32</v>
      </c>
      <c r="S340">
        <f t="shared" si="15"/>
        <v>14</v>
      </c>
      <c r="T340" s="2">
        <f t="shared" si="16"/>
        <v>0.63000016661972869</v>
      </c>
      <c r="U340" s="2">
        <f t="shared" si="17"/>
        <v>0.36999983338027131</v>
      </c>
    </row>
    <row r="341" spans="1:21" x14ac:dyDescent="0.3">
      <c r="A341">
        <v>10340</v>
      </c>
      <c r="B341" t="s">
        <v>150</v>
      </c>
      <c r="C341" t="s">
        <v>151</v>
      </c>
      <c r="D341" t="s">
        <v>30</v>
      </c>
      <c r="E341">
        <v>47</v>
      </c>
      <c r="F341" t="s">
        <v>54</v>
      </c>
      <c r="G341" t="s">
        <v>36</v>
      </c>
      <c r="H341" t="s">
        <v>37</v>
      </c>
      <c r="I341" t="s">
        <v>24</v>
      </c>
      <c r="J341">
        <v>12</v>
      </c>
      <c r="K341" s="1">
        <v>45856</v>
      </c>
      <c r="L341" s="1">
        <v>45868</v>
      </c>
      <c r="M341" t="s">
        <v>25</v>
      </c>
      <c r="N341" t="s">
        <v>26</v>
      </c>
      <c r="O341">
        <v>210833.15</v>
      </c>
      <c r="P341">
        <v>166558.19</v>
      </c>
      <c r="Q341">
        <v>44274.96</v>
      </c>
      <c r="R341" t="s">
        <v>32</v>
      </c>
      <c r="S341">
        <f t="shared" si="15"/>
        <v>12</v>
      </c>
      <c r="T341" s="2">
        <f t="shared" si="16"/>
        <v>0.7900000071146307</v>
      </c>
      <c r="U341" s="2">
        <f t="shared" si="17"/>
        <v>0.2099999928853693</v>
      </c>
    </row>
    <row r="342" spans="1:21" x14ac:dyDescent="0.3">
      <c r="A342">
        <v>10341</v>
      </c>
      <c r="B342" t="s">
        <v>64</v>
      </c>
      <c r="C342" t="s">
        <v>65</v>
      </c>
      <c r="D342" t="s">
        <v>20</v>
      </c>
      <c r="E342">
        <v>27</v>
      </c>
      <c r="F342" t="s">
        <v>31</v>
      </c>
      <c r="G342" t="s">
        <v>47</v>
      </c>
      <c r="H342" t="s">
        <v>48</v>
      </c>
      <c r="I342" t="s">
        <v>49</v>
      </c>
      <c r="J342">
        <v>8</v>
      </c>
      <c r="K342" s="1">
        <v>45859</v>
      </c>
      <c r="L342" s="1">
        <v>45861</v>
      </c>
      <c r="M342" t="s">
        <v>50</v>
      </c>
      <c r="N342" t="s">
        <v>26</v>
      </c>
      <c r="O342">
        <v>309009.95</v>
      </c>
      <c r="P342">
        <v>225577.26</v>
      </c>
      <c r="Q342">
        <v>83432.69</v>
      </c>
      <c r="R342" t="s">
        <v>32</v>
      </c>
      <c r="S342">
        <f t="shared" si="15"/>
        <v>2</v>
      </c>
      <c r="T342" s="2">
        <f t="shared" si="16"/>
        <v>0.72999998867350391</v>
      </c>
      <c r="U342" s="2">
        <f t="shared" si="17"/>
        <v>0.27000001132649609</v>
      </c>
    </row>
    <row r="343" spans="1:21" x14ac:dyDescent="0.3">
      <c r="A343">
        <v>10342</v>
      </c>
      <c r="B343" t="s">
        <v>127</v>
      </c>
      <c r="C343" t="s">
        <v>128</v>
      </c>
      <c r="D343" t="s">
        <v>20</v>
      </c>
      <c r="E343">
        <v>41</v>
      </c>
      <c r="F343" t="s">
        <v>54</v>
      </c>
      <c r="G343" t="s">
        <v>88</v>
      </c>
      <c r="H343" t="s">
        <v>89</v>
      </c>
      <c r="I343" t="s">
        <v>62</v>
      </c>
      <c r="J343">
        <v>14</v>
      </c>
      <c r="K343" s="1">
        <v>45691</v>
      </c>
      <c r="L343" s="1">
        <v>45693</v>
      </c>
      <c r="M343" t="s">
        <v>63</v>
      </c>
      <c r="N343" t="s">
        <v>26</v>
      </c>
      <c r="O343">
        <v>33728.92</v>
      </c>
      <c r="P343">
        <v>28669.58</v>
      </c>
      <c r="Q343">
        <v>5059.34</v>
      </c>
      <c r="R343" t="s">
        <v>32</v>
      </c>
      <c r="S343">
        <f t="shared" si="15"/>
        <v>2</v>
      </c>
      <c r="T343" s="2">
        <f t="shared" si="16"/>
        <v>0.84999994070370477</v>
      </c>
      <c r="U343" s="2">
        <f t="shared" si="17"/>
        <v>0.15000005929629529</v>
      </c>
    </row>
    <row r="344" spans="1:21" x14ac:dyDescent="0.3">
      <c r="A344">
        <v>10343</v>
      </c>
      <c r="B344" t="s">
        <v>108</v>
      </c>
      <c r="C344" t="s">
        <v>109</v>
      </c>
      <c r="D344" t="s">
        <v>20</v>
      </c>
      <c r="E344">
        <v>34</v>
      </c>
      <c r="F344" t="s">
        <v>40</v>
      </c>
      <c r="G344" t="s">
        <v>47</v>
      </c>
      <c r="H344" t="s">
        <v>48</v>
      </c>
      <c r="I344" t="s">
        <v>49</v>
      </c>
      <c r="J344">
        <v>8</v>
      </c>
      <c r="K344" s="1">
        <v>45962</v>
      </c>
      <c r="L344" s="1">
        <v>45972</v>
      </c>
      <c r="M344" t="s">
        <v>50</v>
      </c>
      <c r="N344" t="s">
        <v>26</v>
      </c>
      <c r="O344">
        <v>324637.08</v>
      </c>
      <c r="P344">
        <v>269448.78000000003</v>
      </c>
      <c r="Q344">
        <v>55188.3</v>
      </c>
      <c r="R344" t="s">
        <v>32</v>
      </c>
      <c r="S344">
        <f t="shared" si="15"/>
        <v>10</v>
      </c>
      <c r="T344" s="2">
        <f t="shared" si="16"/>
        <v>0.83000001108930632</v>
      </c>
      <c r="U344" s="2">
        <f t="shared" si="17"/>
        <v>0.16999998891069376</v>
      </c>
    </row>
    <row r="345" spans="1:21" x14ac:dyDescent="0.3">
      <c r="A345">
        <v>10344</v>
      </c>
      <c r="B345" t="s">
        <v>33</v>
      </c>
      <c r="C345" t="s">
        <v>34</v>
      </c>
      <c r="D345" t="s">
        <v>20</v>
      </c>
      <c r="E345">
        <v>26</v>
      </c>
      <c r="F345" t="s">
        <v>35</v>
      </c>
      <c r="G345" t="s">
        <v>47</v>
      </c>
      <c r="H345" t="s">
        <v>48</v>
      </c>
      <c r="I345" t="s">
        <v>49</v>
      </c>
      <c r="J345">
        <v>8</v>
      </c>
      <c r="K345" s="1">
        <v>45730</v>
      </c>
      <c r="L345" s="1">
        <v>45740</v>
      </c>
      <c r="M345" t="s">
        <v>50</v>
      </c>
      <c r="N345" t="s">
        <v>26</v>
      </c>
      <c r="O345">
        <v>302896.53000000003</v>
      </c>
      <c r="P345">
        <v>190824.81</v>
      </c>
      <c r="Q345">
        <v>112071.72</v>
      </c>
      <c r="R345" t="s">
        <v>32</v>
      </c>
      <c r="S345">
        <f t="shared" si="15"/>
        <v>10</v>
      </c>
      <c r="T345" s="2">
        <f t="shared" si="16"/>
        <v>0.62999998712431593</v>
      </c>
      <c r="U345" s="2">
        <f t="shared" si="17"/>
        <v>0.37000001287568396</v>
      </c>
    </row>
    <row r="346" spans="1:21" x14ac:dyDescent="0.3">
      <c r="A346">
        <v>10345</v>
      </c>
      <c r="B346" t="s">
        <v>104</v>
      </c>
      <c r="C346" t="s">
        <v>105</v>
      </c>
      <c r="D346" t="s">
        <v>30</v>
      </c>
      <c r="E346">
        <v>68</v>
      </c>
      <c r="F346" t="s">
        <v>21</v>
      </c>
      <c r="G346" t="s">
        <v>36</v>
      </c>
      <c r="H346" t="s">
        <v>37</v>
      </c>
      <c r="I346" t="s">
        <v>24</v>
      </c>
      <c r="J346">
        <v>12</v>
      </c>
      <c r="K346" s="1">
        <v>45852</v>
      </c>
      <c r="L346" s="1">
        <v>45861</v>
      </c>
      <c r="M346" t="s">
        <v>66</v>
      </c>
      <c r="N346" t="s">
        <v>51</v>
      </c>
      <c r="O346">
        <v>33327.99</v>
      </c>
      <c r="P346">
        <v>23329.59</v>
      </c>
      <c r="Q346">
        <v>9998.4</v>
      </c>
      <c r="R346" t="s">
        <v>32</v>
      </c>
      <c r="S346">
        <f t="shared" si="15"/>
        <v>9</v>
      </c>
      <c r="T346" s="2">
        <f t="shared" si="16"/>
        <v>0.69999990998557071</v>
      </c>
      <c r="U346" s="2">
        <f t="shared" si="17"/>
        <v>0.30000009001442934</v>
      </c>
    </row>
    <row r="347" spans="1:21" x14ac:dyDescent="0.3">
      <c r="A347">
        <v>10346</v>
      </c>
      <c r="B347" t="s">
        <v>86</v>
      </c>
      <c r="C347" t="s">
        <v>87</v>
      </c>
      <c r="D347" t="s">
        <v>30</v>
      </c>
      <c r="E347">
        <v>23</v>
      </c>
      <c r="F347" t="s">
        <v>31</v>
      </c>
      <c r="G347" t="s">
        <v>22</v>
      </c>
      <c r="H347" t="s">
        <v>23</v>
      </c>
      <c r="I347" t="s">
        <v>24</v>
      </c>
      <c r="J347">
        <v>15</v>
      </c>
      <c r="K347" s="1">
        <v>45972</v>
      </c>
      <c r="L347" s="1">
        <v>45975</v>
      </c>
      <c r="M347" t="s">
        <v>25</v>
      </c>
      <c r="N347" t="s">
        <v>26</v>
      </c>
      <c r="O347">
        <v>111754.94</v>
      </c>
      <c r="P347">
        <v>74875.81</v>
      </c>
      <c r="Q347">
        <v>36879.129999999997</v>
      </c>
      <c r="R347" t="s">
        <v>32</v>
      </c>
      <c r="S347">
        <f t="shared" si="15"/>
        <v>3</v>
      </c>
      <c r="T347" s="2">
        <f t="shared" si="16"/>
        <v>0.67000000178963004</v>
      </c>
      <c r="U347" s="2">
        <f t="shared" si="17"/>
        <v>0.3299999982103699</v>
      </c>
    </row>
    <row r="348" spans="1:21" x14ac:dyDescent="0.3">
      <c r="A348">
        <v>10347</v>
      </c>
      <c r="B348" t="s">
        <v>160</v>
      </c>
      <c r="C348" t="s">
        <v>161</v>
      </c>
      <c r="D348" t="s">
        <v>20</v>
      </c>
      <c r="E348">
        <v>18</v>
      </c>
      <c r="F348" t="s">
        <v>54</v>
      </c>
      <c r="G348" t="s">
        <v>22</v>
      </c>
      <c r="H348" t="s">
        <v>23</v>
      </c>
      <c r="I348" t="s">
        <v>24</v>
      </c>
      <c r="J348">
        <v>15</v>
      </c>
      <c r="K348" s="1">
        <v>45954</v>
      </c>
      <c r="L348" s="1">
        <v>45961</v>
      </c>
      <c r="M348" t="s">
        <v>76</v>
      </c>
      <c r="N348" t="s">
        <v>26</v>
      </c>
      <c r="O348">
        <v>157495.53</v>
      </c>
      <c r="P348">
        <v>124421.47</v>
      </c>
      <c r="Q348">
        <v>33074.06</v>
      </c>
      <c r="R348" t="s">
        <v>27</v>
      </c>
      <c r="S348">
        <f t="shared" si="15"/>
        <v>7</v>
      </c>
      <c r="T348" s="2">
        <f t="shared" si="16"/>
        <v>0.79000000825420258</v>
      </c>
      <c r="U348" s="2">
        <f t="shared" si="17"/>
        <v>0.20999999174579748</v>
      </c>
    </row>
    <row r="349" spans="1:21" x14ac:dyDescent="0.3">
      <c r="A349">
        <v>10348</v>
      </c>
      <c r="B349" t="s">
        <v>160</v>
      </c>
      <c r="C349" t="s">
        <v>161</v>
      </c>
      <c r="D349" t="s">
        <v>20</v>
      </c>
      <c r="E349">
        <v>18</v>
      </c>
      <c r="F349" t="s">
        <v>54</v>
      </c>
      <c r="G349" t="s">
        <v>88</v>
      </c>
      <c r="H349" t="s">
        <v>89</v>
      </c>
      <c r="I349" t="s">
        <v>62</v>
      </c>
      <c r="J349">
        <v>14</v>
      </c>
      <c r="K349" s="1">
        <v>45885</v>
      </c>
      <c r="L349" s="1">
        <v>45896</v>
      </c>
      <c r="M349" t="s">
        <v>63</v>
      </c>
      <c r="N349" t="s">
        <v>51</v>
      </c>
      <c r="O349">
        <v>29930.3</v>
      </c>
      <c r="P349">
        <v>20951.21</v>
      </c>
      <c r="Q349">
        <v>8979.09</v>
      </c>
      <c r="R349" t="s">
        <v>27</v>
      </c>
      <c r="S349">
        <f t="shared" si="15"/>
        <v>11</v>
      </c>
      <c r="T349" s="2">
        <f t="shared" si="16"/>
        <v>0.7</v>
      </c>
      <c r="U349" s="2">
        <f t="shared" si="17"/>
        <v>0.3</v>
      </c>
    </row>
    <row r="350" spans="1:21" x14ac:dyDescent="0.3">
      <c r="A350">
        <v>10349</v>
      </c>
      <c r="B350" t="s">
        <v>135</v>
      </c>
      <c r="C350" t="s">
        <v>136</v>
      </c>
      <c r="D350" t="s">
        <v>30</v>
      </c>
      <c r="E350">
        <v>52</v>
      </c>
      <c r="F350" t="s">
        <v>35</v>
      </c>
      <c r="G350" t="s">
        <v>55</v>
      </c>
      <c r="H350" t="s">
        <v>56</v>
      </c>
      <c r="I350" t="s">
        <v>49</v>
      </c>
      <c r="J350">
        <v>10</v>
      </c>
      <c r="K350" s="1">
        <v>45700</v>
      </c>
      <c r="L350" s="1">
        <v>45710</v>
      </c>
      <c r="M350" t="s">
        <v>85</v>
      </c>
      <c r="N350" t="s">
        <v>26</v>
      </c>
      <c r="O350">
        <v>53429.63</v>
      </c>
      <c r="P350">
        <v>34194.959999999999</v>
      </c>
      <c r="Q350">
        <v>19234.669999999998</v>
      </c>
      <c r="R350" t="s">
        <v>27</v>
      </c>
      <c r="S350">
        <f t="shared" si="15"/>
        <v>10</v>
      </c>
      <c r="T350" s="2">
        <f t="shared" si="16"/>
        <v>0.63999994010813854</v>
      </c>
      <c r="U350" s="2">
        <f t="shared" si="17"/>
        <v>0.36000005989186151</v>
      </c>
    </row>
    <row r="351" spans="1:21" x14ac:dyDescent="0.3">
      <c r="A351">
        <v>10350</v>
      </c>
      <c r="B351" t="s">
        <v>64</v>
      </c>
      <c r="C351" t="s">
        <v>65</v>
      </c>
      <c r="D351" t="s">
        <v>20</v>
      </c>
      <c r="E351">
        <v>27</v>
      </c>
      <c r="F351" t="s">
        <v>31</v>
      </c>
      <c r="G351" t="s">
        <v>70</v>
      </c>
      <c r="H351" t="s">
        <v>71</v>
      </c>
      <c r="I351" t="s">
        <v>43</v>
      </c>
      <c r="J351">
        <v>11</v>
      </c>
      <c r="K351" s="1">
        <v>45806</v>
      </c>
      <c r="L351" s="1">
        <v>45818</v>
      </c>
      <c r="M351" t="s">
        <v>44</v>
      </c>
      <c r="N351" t="s">
        <v>51</v>
      </c>
      <c r="O351">
        <v>12109.88</v>
      </c>
      <c r="P351">
        <v>8234.7199999999993</v>
      </c>
      <c r="Q351">
        <v>3875.16</v>
      </c>
      <c r="R351" t="s">
        <v>32</v>
      </c>
      <c r="S351">
        <f t="shared" si="15"/>
        <v>12</v>
      </c>
      <c r="T351" s="2">
        <f t="shared" si="16"/>
        <v>0.68000013212352228</v>
      </c>
      <c r="U351" s="2">
        <f t="shared" si="17"/>
        <v>0.31999986787647772</v>
      </c>
    </row>
    <row r="352" spans="1:21" x14ac:dyDescent="0.3">
      <c r="A352">
        <v>10351</v>
      </c>
      <c r="B352" t="s">
        <v>82</v>
      </c>
      <c r="C352" t="s">
        <v>83</v>
      </c>
      <c r="D352" t="s">
        <v>20</v>
      </c>
      <c r="E352">
        <v>74</v>
      </c>
      <c r="F352" t="s">
        <v>84</v>
      </c>
      <c r="G352" t="s">
        <v>47</v>
      </c>
      <c r="H352" t="s">
        <v>48</v>
      </c>
      <c r="I352" t="s">
        <v>49</v>
      </c>
      <c r="J352">
        <v>8</v>
      </c>
      <c r="K352" s="1">
        <v>45723</v>
      </c>
      <c r="L352" s="1">
        <v>45727</v>
      </c>
      <c r="M352" t="s">
        <v>101</v>
      </c>
      <c r="N352" t="s">
        <v>26</v>
      </c>
      <c r="O352">
        <v>51995.51</v>
      </c>
      <c r="P352">
        <v>38996.629999999997</v>
      </c>
      <c r="Q352">
        <v>12998.88</v>
      </c>
      <c r="R352" t="s">
        <v>32</v>
      </c>
      <c r="S352">
        <f t="shared" si="15"/>
        <v>4</v>
      </c>
      <c r="T352" s="2">
        <f t="shared" si="16"/>
        <v>0.74999995191892521</v>
      </c>
      <c r="U352" s="2">
        <f t="shared" si="17"/>
        <v>0.25000004808107468</v>
      </c>
    </row>
    <row r="353" spans="1:21" x14ac:dyDescent="0.3">
      <c r="A353">
        <v>10352</v>
      </c>
      <c r="B353" t="s">
        <v>150</v>
      </c>
      <c r="C353" t="s">
        <v>151</v>
      </c>
      <c r="D353" t="s">
        <v>30</v>
      </c>
      <c r="E353">
        <v>47</v>
      </c>
      <c r="F353" t="s">
        <v>54</v>
      </c>
      <c r="G353" t="s">
        <v>41</v>
      </c>
      <c r="H353" t="s">
        <v>42</v>
      </c>
      <c r="I353" t="s">
        <v>43</v>
      </c>
      <c r="J353">
        <v>9</v>
      </c>
      <c r="K353" s="1">
        <v>45811</v>
      </c>
      <c r="L353" s="1">
        <v>45822</v>
      </c>
      <c r="M353" t="s">
        <v>44</v>
      </c>
      <c r="N353" t="s">
        <v>26</v>
      </c>
      <c r="O353">
        <v>16156.28</v>
      </c>
      <c r="P353">
        <v>13571.28</v>
      </c>
      <c r="Q353">
        <v>2585</v>
      </c>
      <c r="R353" t="s">
        <v>32</v>
      </c>
      <c r="S353">
        <f t="shared" si="15"/>
        <v>11</v>
      </c>
      <c r="T353" s="2">
        <f t="shared" si="16"/>
        <v>0.84000029709809432</v>
      </c>
      <c r="U353" s="2">
        <f t="shared" si="17"/>
        <v>0.15999970290190563</v>
      </c>
    </row>
    <row r="354" spans="1:21" x14ac:dyDescent="0.3">
      <c r="A354">
        <v>10353</v>
      </c>
      <c r="B354" t="s">
        <v>137</v>
      </c>
      <c r="C354" t="s">
        <v>138</v>
      </c>
      <c r="D354" t="s">
        <v>30</v>
      </c>
      <c r="E354">
        <v>56</v>
      </c>
      <c r="F354" t="s">
        <v>59</v>
      </c>
      <c r="G354" t="s">
        <v>36</v>
      </c>
      <c r="H354" t="s">
        <v>37</v>
      </c>
      <c r="I354" t="s">
        <v>24</v>
      </c>
      <c r="J354">
        <v>12</v>
      </c>
      <c r="K354" s="1">
        <v>45706</v>
      </c>
      <c r="L354" s="1">
        <v>45714</v>
      </c>
      <c r="M354" t="s">
        <v>76</v>
      </c>
      <c r="N354" t="s">
        <v>26</v>
      </c>
      <c r="O354">
        <v>335219.78999999998</v>
      </c>
      <c r="P354">
        <v>264823.63</v>
      </c>
      <c r="Q354">
        <v>70396.160000000003</v>
      </c>
      <c r="R354" t="s">
        <v>27</v>
      </c>
      <c r="S354">
        <f t="shared" si="15"/>
        <v>8</v>
      </c>
      <c r="T354" s="2">
        <f t="shared" si="16"/>
        <v>0.78999998776921854</v>
      </c>
      <c r="U354" s="2">
        <f t="shared" si="17"/>
        <v>0.21000001223078152</v>
      </c>
    </row>
    <row r="355" spans="1:21" x14ac:dyDescent="0.3">
      <c r="A355">
        <v>10354</v>
      </c>
      <c r="B355" t="s">
        <v>160</v>
      </c>
      <c r="C355" t="s">
        <v>161</v>
      </c>
      <c r="D355" t="s">
        <v>20</v>
      </c>
      <c r="E355">
        <v>18</v>
      </c>
      <c r="F355" t="s">
        <v>54</v>
      </c>
      <c r="G355" t="s">
        <v>22</v>
      </c>
      <c r="H355" t="s">
        <v>23</v>
      </c>
      <c r="I355" t="s">
        <v>24</v>
      </c>
      <c r="J355">
        <v>15</v>
      </c>
      <c r="K355" s="1">
        <v>45695</v>
      </c>
      <c r="L355" s="1">
        <v>45700</v>
      </c>
      <c r="M355" t="s">
        <v>76</v>
      </c>
      <c r="N355" t="s">
        <v>26</v>
      </c>
      <c r="O355">
        <v>409988.67</v>
      </c>
      <c r="P355">
        <v>278792.3</v>
      </c>
      <c r="Q355">
        <v>131196.37</v>
      </c>
      <c r="R355" t="s">
        <v>32</v>
      </c>
      <c r="S355">
        <f t="shared" si="15"/>
        <v>5</v>
      </c>
      <c r="T355" s="2">
        <f t="shared" si="16"/>
        <v>0.68000001073200389</v>
      </c>
      <c r="U355" s="2">
        <f t="shared" si="17"/>
        <v>0.31999998926799611</v>
      </c>
    </row>
    <row r="356" spans="1:21" x14ac:dyDescent="0.3">
      <c r="A356">
        <v>10355</v>
      </c>
      <c r="B356" t="s">
        <v>18</v>
      </c>
      <c r="C356" t="s">
        <v>19</v>
      </c>
      <c r="D356" t="s">
        <v>20</v>
      </c>
      <c r="E356">
        <v>45</v>
      </c>
      <c r="F356" t="s">
        <v>21</v>
      </c>
      <c r="G356" t="s">
        <v>47</v>
      </c>
      <c r="H356" t="s">
        <v>48</v>
      </c>
      <c r="I356" t="s">
        <v>49</v>
      </c>
      <c r="J356">
        <v>8</v>
      </c>
      <c r="K356" s="1">
        <v>45789</v>
      </c>
      <c r="L356" s="1">
        <v>45802</v>
      </c>
      <c r="M356" t="s">
        <v>101</v>
      </c>
      <c r="N356" t="s">
        <v>26</v>
      </c>
      <c r="O356">
        <v>28827.84</v>
      </c>
      <c r="P356">
        <v>21332.6</v>
      </c>
      <c r="Q356">
        <v>7495.24</v>
      </c>
      <c r="R356" t="s">
        <v>32</v>
      </c>
      <c r="S356">
        <f t="shared" si="15"/>
        <v>13</v>
      </c>
      <c r="T356" s="2">
        <f t="shared" si="16"/>
        <v>0.73999994449809625</v>
      </c>
      <c r="U356" s="2">
        <f t="shared" si="17"/>
        <v>0.26000005550190369</v>
      </c>
    </row>
    <row r="357" spans="1:21" x14ac:dyDescent="0.3">
      <c r="A357">
        <v>10356</v>
      </c>
      <c r="B357" t="s">
        <v>18</v>
      </c>
      <c r="C357" t="s">
        <v>19</v>
      </c>
      <c r="D357" t="s">
        <v>20</v>
      </c>
      <c r="E357">
        <v>45</v>
      </c>
      <c r="F357" t="s">
        <v>21</v>
      </c>
      <c r="G357" t="s">
        <v>47</v>
      </c>
      <c r="H357" t="s">
        <v>48</v>
      </c>
      <c r="I357" t="s">
        <v>49</v>
      </c>
      <c r="J357">
        <v>8</v>
      </c>
      <c r="K357" s="1">
        <v>45658</v>
      </c>
      <c r="L357" s="1">
        <v>45672</v>
      </c>
      <c r="M357" t="s">
        <v>50</v>
      </c>
      <c r="N357" t="s">
        <v>26</v>
      </c>
      <c r="O357">
        <v>362040.61</v>
      </c>
      <c r="P357">
        <v>220844.77</v>
      </c>
      <c r="Q357">
        <v>141195.84</v>
      </c>
      <c r="R357" t="s">
        <v>27</v>
      </c>
      <c r="S357">
        <f t="shared" si="15"/>
        <v>14</v>
      </c>
      <c r="T357" s="2">
        <f t="shared" si="16"/>
        <v>0.60999999419954576</v>
      </c>
      <c r="U357" s="2">
        <f t="shared" si="17"/>
        <v>0.3900000058004543</v>
      </c>
    </row>
    <row r="358" spans="1:21" x14ac:dyDescent="0.3">
      <c r="A358">
        <v>10357</v>
      </c>
      <c r="B358" t="s">
        <v>120</v>
      </c>
      <c r="C358" t="s">
        <v>74</v>
      </c>
      <c r="D358" t="s">
        <v>20</v>
      </c>
      <c r="E358">
        <v>61</v>
      </c>
      <c r="F358" t="s">
        <v>69</v>
      </c>
      <c r="G358" t="s">
        <v>22</v>
      </c>
      <c r="H358" t="s">
        <v>23</v>
      </c>
      <c r="I358" t="s">
        <v>24</v>
      </c>
      <c r="J358">
        <v>15</v>
      </c>
      <c r="K358" s="1">
        <v>45872</v>
      </c>
      <c r="L358" s="1">
        <v>45875</v>
      </c>
      <c r="M358" t="s">
        <v>76</v>
      </c>
      <c r="N358" t="s">
        <v>51</v>
      </c>
      <c r="O358">
        <v>131477.31</v>
      </c>
      <c r="P358">
        <v>110440.94</v>
      </c>
      <c r="Q358">
        <v>21036.37</v>
      </c>
      <c r="R358" t="s">
        <v>32</v>
      </c>
      <c r="S358">
        <f t="shared" si="15"/>
        <v>3</v>
      </c>
      <c r="T358" s="2">
        <f t="shared" si="16"/>
        <v>0.83999999695765004</v>
      </c>
      <c r="U358" s="2">
        <f t="shared" si="17"/>
        <v>0.16000000304235004</v>
      </c>
    </row>
    <row r="359" spans="1:21" x14ac:dyDescent="0.3">
      <c r="A359">
        <v>10358</v>
      </c>
      <c r="B359" t="s">
        <v>162</v>
      </c>
      <c r="C359" t="s">
        <v>91</v>
      </c>
      <c r="D359" t="s">
        <v>30</v>
      </c>
      <c r="E359">
        <v>39</v>
      </c>
      <c r="F359" t="s">
        <v>119</v>
      </c>
      <c r="G359" t="s">
        <v>55</v>
      </c>
      <c r="H359" t="s">
        <v>56</v>
      </c>
      <c r="I359" t="s">
        <v>49</v>
      </c>
      <c r="J359">
        <v>10</v>
      </c>
      <c r="K359" s="1">
        <v>45863</v>
      </c>
      <c r="L359" s="1">
        <v>45872</v>
      </c>
      <c r="M359" t="s">
        <v>50</v>
      </c>
      <c r="N359" t="s">
        <v>51</v>
      </c>
      <c r="O359">
        <v>182515.38</v>
      </c>
      <c r="P359">
        <v>127760.77</v>
      </c>
      <c r="Q359">
        <v>54754.61</v>
      </c>
      <c r="R359" t="s">
        <v>32</v>
      </c>
      <c r="S359">
        <f t="shared" si="15"/>
        <v>9</v>
      </c>
      <c r="T359" s="2">
        <f t="shared" si="16"/>
        <v>0.70000002191596122</v>
      </c>
      <c r="U359" s="2">
        <f t="shared" si="17"/>
        <v>0.29999997808403872</v>
      </c>
    </row>
    <row r="360" spans="1:21" x14ac:dyDescent="0.3">
      <c r="A360">
        <v>10359</v>
      </c>
      <c r="B360" t="s">
        <v>152</v>
      </c>
      <c r="C360" t="s">
        <v>153</v>
      </c>
      <c r="D360" t="s">
        <v>20</v>
      </c>
      <c r="E360">
        <v>27</v>
      </c>
      <c r="F360" t="s">
        <v>59</v>
      </c>
      <c r="G360" t="s">
        <v>70</v>
      </c>
      <c r="H360" t="s">
        <v>71</v>
      </c>
      <c r="I360" t="s">
        <v>43</v>
      </c>
      <c r="J360">
        <v>11</v>
      </c>
      <c r="K360" s="1">
        <v>45981</v>
      </c>
      <c r="L360" s="1">
        <v>45990</v>
      </c>
      <c r="M360" t="s">
        <v>72</v>
      </c>
      <c r="N360" t="s">
        <v>26</v>
      </c>
      <c r="O360">
        <v>9815.77</v>
      </c>
      <c r="P360">
        <v>7067.35</v>
      </c>
      <c r="Q360">
        <v>2748.42</v>
      </c>
      <c r="R360" t="s">
        <v>32</v>
      </c>
      <c r="S360">
        <f t="shared" si="15"/>
        <v>9</v>
      </c>
      <c r="T360" s="2">
        <f t="shared" si="16"/>
        <v>0.71999955174173802</v>
      </c>
      <c r="U360" s="2">
        <f t="shared" si="17"/>
        <v>0.28000044825826198</v>
      </c>
    </row>
    <row r="361" spans="1:21" x14ac:dyDescent="0.3">
      <c r="A361">
        <v>10360</v>
      </c>
      <c r="B361" t="s">
        <v>97</v>
      </c>
      <c r="C361" t="s">
        <v>98</v>
      </c>
      <c r="D361" t="s">
        <v>20</v>
      </c>
      <c r="E361">
        <v>43</v>
      </c>
      <c r="F361" t="s">
        <v>69</v>
      </c>
      <c r="G361" t="s">
        <v>60</v>
      </c>
      <c r="H361" t="s">
        <v>61</v>
      </c>
      <c r="I361" t="s">
        <v>62</v>
      </c>
      <c r="J361">
        <v>18</v>
      </c>
      <c r="K361" s="1">
        <v>45947</v>
      </c>
      <c r="L361" s="1">
        <v>45955</v>
      </c>
      <c r="M361" t="s">
        <v>63</v>
      </c>
      <c r="N361" t="s">
        <v>26</v>
      </c>
      <c r="O361">
        <v>20222.849999999999</v>
      </c>
      <c r="P361">
        <v>14964.91</v>
      </c>
      <c r="Q361">
        <v>5257.94</v>
      </c>
      <c r="R361" t="s">
        <v>32</v>
      </c>
      <c r="S361">
        <f t="shared" si="15"/>
        <v>8</v>
      </c>
      <c r="T361" s="2">
        <f t="shared" si="16"/>
        <v>0.74000004944901443</v>
      </c>
      <c r="U361" s="2">
        <f t="shared" si="17"/>
        <v>0.25999995055098563</v>
      </c>
    </row>
    <row r="362" spans="1:21" x14ac:dyDescent="0.3">
      <c r="A362">
        <v>10361</v>
      </c>
      <c r="B362" t="s">
        <v>78</v>
      </c>
      <c r="C362" t="s">
        <v>79</v>
      </c>
      <c r="D362" t="s">
        <v>20</v>
      </c>
      <c r="E362">
        <v>67</v>
      </c>
      <c r="F362" t="s">
        <v>35</v>
      </c>
      <c r="G362" t="s">
        <v>70</v>
      </c>
      <c r="H362" t="s">
        <v>71</v>
      </c>
      <c r="I362" t="s">
        <v>43</v>
      </c>
      <c r="J362">
        <v>11</v>
      </c>
      <c r="K362" s="1">
        <v>45939</v>
      </c>
      <c r="L362" s="1">
        <v>45949</v>
      </c>
      <c r="M362" t="s">
        <v>112</v>
      </c>
      <c r="N362" t="s">
        <v>26</v>
      </c>
      <c r="O362">
        <v>29859.07</v>
      </c>
      <c r="P362">
        <v>22394.3</v>
      </c>
      <c r="Q362">
        <v>7464.77</v>
      </c>
      <c r="R362" t="s">
        <v>32</v>
      </c>
      <c r="S362">
        <f t="shared" si="15"/>
        <v>10</v>
      </c>
      <c r="T362" s="2">
        <f t="shared" si="16"/>
        <v>0.74999991627334672</v>
      </c>
      <c r="U362" s="2">
        <f t="shared" si="17"/>
        <v>0.25000008372665328</v>
      </c>
    </row>
    <row r="363" spans="1:21" x14ac:dyDescent="0.3">
      <c r="A363">
        <v>10362</v>
      </c>
      <c r="B363" t="s">
        <v>141</v>
      </c>
      <c r="C363" t="s">
        <v>142</v>
      </c>
      <c r="D363" t="s">
        <v>30</v>
      </c>
      <c r="E363">
        <v>47</v>
      </c>
      <c r="F363" t="s">
        <v>54</v>
      </c>
      <c r="G363" t="s">
        <v>55</v>
      </c>
      <c r="H363" t="s">
        <v>56</v>
      </c>
      <c r="I363" t="s">
        <v>49</v>
      </c>
      <c r="J363">
        <v>10</v>
      </c>
      <c r="K363" s="1">
        <v>45723</v>
      </c>
      <c r="L363" s="1">
        <v>45735</v>
      </c>
      <c r="M363" t="s">
        <v>85</v>
      </c>
      <c r="N363" t="s">
        <v>51</v>
      </c>
      <c r="O363">
        <v>117945.26</v>
      </c>
      <c r="P363">
        <v>74305.509999999995</v>
      </c>
      <c r="Q363">
        <v>43639.75</v>
      </c>
      <c r="R363" t="s">
        <v>32</v>
      </c>
      <c r="S363">
        <f t="shared" si="15"/>
        <v>12</v>
      </c>
      <c r="T363" s="2">
        <f t="shared" si="16"/>
        <v>0.62999996778166412</v>
      </c>
      <c r="U363" s="2">
        <f t="shared" si="17"/>
        <v>0.37000003221833588</v>
      </c>
    </row>
    <row r="364" spans="1:21" x14ac:dyDescent="0.3">
      <c r="A364">
        <v>10363</v>
      </c>
      <c r="B364" t="s">
        <v>73</v>
      </c>
      <c r="C364" t="s">
        <v>74</v>
      </c>
      <c r="D364" t="s">
        <v>20</v>
      </c>
      <c r="E364">
        <v>53</v>
      </c>
      <c r="F364" t="s">
        <v>75</v>
      </c>
      <c r="G364" t="s">
        <v>36</v>
      </c>
      <c r="H364" t="s">
        <v>37</v>
      </c>
      <c r="I364" t="s">
        <v>24</v>
      </c>
      <c r="J364">
        <v>12</v>
      </c>
      <c r="K364" s="1">
        <v>45842</v>
      </c>
      <c r="L364" s="1">
        <v>45853</v>
      </c>
      <c r="M364" t="s">
        <v>25</v>
      </c>
      <c r="N364" t="s">
        <v>26</v>
      </c>
      <c r="O364">
        <v>109482.64</v>
      </c>
      <c r="P364">
        <v>66784.41</v>
      </c>
      <c r="Q364">
        <v>42698.23</v>
      </c>
      <c r="R364" t="s">
        <v>32</v>
      </c>
      <c r="S364">
        <f t="shared" si="15"/>
        <v>11</v>
      </c>
      <c r="T364" s="2">
        <f t="shared" si="16"/>
        <v>0.60999999634645274</v>
      </c>
      <c r="U364" s="2">
        <f t="shared" si="17"/>
        <v>0.39000000365354731</v>
      </c>
    </row>
    <row r="365" spans="1:21" x14ac:dyDescent="0.3">
      <c r="A365">
        <v>10364</v>
      </c>
      <c r="B365" t="s">
        <v>152</v>
      </c>
      <c r="C365" t="s">
        <v>153</v>
      </c>
      <c r="D365" t="s">
        <v>20</v>
      </c>
      <c r="E365">
        <v>27</v>
      </c>
      <c r="F365" t="s">
        <v>59</v>
      </c>
      <c r="G365" t="s">
        <v>47</v>
      </c>
      <c r="H365" t="s">
        <v>48</v>
      </c>
      <c r="I365" t="s">
        <v>49</v>
      </c>
      <c r="J365">
        <v>8</v>
      </c>
      <c r="K365" s="1">
        <v>45814</v>
      </c>
      <c r="L365" s="1">
        <v>45821</v>
      </c>
      <c r="M365" t="s">
        <v>50</v>
      </c>
      <c r="N365" t="s">
        <v>26</v>
      </c>
      <c r="O365">
        <v>344532.31</v>
      </c>
      <c r="P365">
        <v>206719.39</v>
      </c>
      <c r="Q365">
        <v>137812.92000000001</v>
      </c>
      <c r="R365" t="s">
        <v>32</v>
      </c>
      <c r="S365">
        <f t="shared" si="15"/>
        <v>7</v>
      </c>
      <c r="T365" s="2">
        <f t="shared" si="16"/>
        <v>0.60000001160994165</v>
      </c>
      <c r="U365" s="2">
        <f t="shared" si="17"/>
        <v>0.39999998839005846</v>
      </c>
    </row>
    <row r="366" spans="1:21" x14ac:dyDescent="0.3">
      <c r="A366">
        <v>10365</v>
      </c>
      <c r="B366" t="s">
        <v>162</v>
      </c>
      <c r="C366" t="s">
        <v>91</v>
      </c>
      <c r="D366" t="s">
        <v>30</v>
      </c>
      <c r="E366">
        <v>39</v>
      </c>
      <c r="F366" t="s">
        <v>119</v>
      </c>
      <c r="G366" t="s">
        <v>70</v>
      </c>
      <c r="H366" t="s">
        <v>71</v>
      </c>
      <c r="I366" t="s">
        <v>43</v>
      </c>
      <c r="J366">
        <v>11</v>
      </c>
      <c r="K366" s="1">
        <v>45733</v>
      </c>
      <c r="L366" s="1">
        <v>45738</v>
      </c>
      <c r="M366" t="s">
        <v>44</v>
      </c>
      <c r="N366" t="s">
        <v>26</v>
      </c>
      <c r="O366">
        <v>13841.4</v>
      </c>
      <c r="P366">
        <v>8720.08</v>
      </c>
      <c r="Q366">
        <v>5121.32</v>
      </c>
      <c r="R366" t="s">
        <v>32</v>
      </c>
      <c r="S366">
        <f t="shared" si="15"/>
        <v>5</v>
      </c>
      <c r="T366" s="2">
        <f t="shared" si="16"/>
        <v>0.62999985550594595</v>
      </c>
      <c r="U366" s="2">
        <f t="shared" si="17"/>
        <v>0.37000014449405405</v>
      </c>
    </row>
    <row r="367" spans="1:21" x14ac:dyDescent="0.3">
      <c r="A367">
        <v>10366</v>
      </c>
      <c r="B367" t="s">
        <v>113</v>
      </c>
      <c r="C367" t="s">
        <v>114</v>
      </c>
      <c r="D367" t="s">
        <v>30</v>
      </c>
      <c r="E367">
        <v>33</v>
      </c>
      <c r="F367" t="s">
        <v>59</v>
      </c>
      <c r="G367" t="s">
        <v>70</v>
      </c>
      <c r="H367" t="s">
        <v>71</v>
      </c>
      <c r="I367" t="s">
        <v>43</v>
      </c>
      <c r="J367">
        <v>11</v>
      </c>
      <c r="K367" s="1">
        <v>45668</v>
      </c>
      <c r="L367" s="1">
        <v>45677</v>
      </c>
      <c r="M367" t="s">
        <v>44</v>
      </c>
      <c r="N367" t="s">
        <v>26</v>
      </c>
      <c r="O367">
        <v>34030.42</v>
      </c>
      <c r="P367">
        <v>24161.599999999999</v>
      </c>
      <c r="Q367">
        <v>9868.82</v>
      </c>
      <c r="R367" t="s">
        <v>32</v>
      </c>
      <c r="S367">
        <f t="shared" si="15"/>
        <v>9</v>
      </c>
      <c r="T367" s="2">
        <f t="shared" si="16"/>
        <v>0.71000005289385204</v>
      </c>
      <c r="U367" s="2">
        <f t="shared" si="17"/>
        <v>0.28999994710614796</v>
      </c>
    </row>
    <row r="368" spans="1:21" x14ac:dyDescent="0.3">
      <c r="A368">
        <v>10367</v>
      </c>
      <c r="B368" t="s">
        <v>108</v>
      </c>
      <c r="C368" t="s">
        <v>109</v>
      </c>
      <c r="D368" t="s">
        <v>20</v>
      </c>
      <c r="E368">
        <v>34</v>
      </c>
      <c r="F368" t="s">
        <v>40</v>
      </c>
      <c r="G368" t="s">
        <v>41</v>
      </c>
      <c r="H368" t="s">
        <v>42</v>
      </c>
      <c r="I368" t="s">
        <v>43</v>
      </c>
      <c r="J368">
        <v>9</v>
      </c>
      <c r="K368" s="1">
        <v>45837</v>
      </c>
      <c r="L368" s="1">
        <v>45845</v>
      </c>
      <c r="M368" t="s">
        <v>112</v>
      </c>
      <c r="N368" t="s">
        <v>26</v>
      </c>
      <c r="O368">
        <v>73712.13</v>
      </c>
      <c r="P368">
        <v>54546.98</v>
      </c>
      <c r="Q368">
        <v>19165.150000000001</v>
      </c>
      <c r="R368" t="s">
        <v>32</v>
      </c>
      <c r="S368">
        <f t="shared" si="15"/>
        <v>8</v>
      </c>
      <c r="T368" s="2">
        <f t="shared" si="16"/>
        <v>0.74000005155189519</v>
      </c>
      <c r="U368" s="2">
        <f t="shared" si="17"/>
        <v>0.25999994844810481</v>
      </c>
    </row>
    <row r="369" spans="1:21" x14ac:dyDescent="0.3">
      <c r="A369">
        <v>10368</v>
      </c>
      <c r="B369" t="s">
        <v>156</v>
      </c>
      <c r="C369" t="s">
        <v>157</v>
      </c>
      <c r="D369" t="s">
        <v>30</v>
      </c>
      <c r="E369">
        <v>47</v>
      </c>
      <c r="F369" t="s">
        <v>40</v>
      </c>
      <c r="G369" t="s">
        <v>88</v>
      </c>
      <c r="H369" t="s">
        <v>89</v>
      </c>
      <c r="I369" t="s">
        <v>62</v>
      </c>
      <c r="J369">
        <v>14</v>
      </c>
      <c r="K369" s="1">
        <v>45998</v>
      </c>
      <c r="L369" s="1">
        <v>46005</v>
      </c>
      <c r="M369" t="s">
        <v>77</v>
      </c>
      <c r="N369" t="s">
        <v>26</v>
      </c>
      <c r="O369">
        <v>67973.94</v>
      </c>
      <c r="P369">
        <v>48261.5</v>
      </c>
      <c r="Q369">
        <v>19712.439999999999</v>
      </c>
      <c r="R369" t="s">
        <v>32</v>
      </c>
      <c r="S369">
        <f t="shared" si="15"/>
        <v>7</v>
      </c>
      <c r="T369" s="2">
        <f t="shared" si="16"/>
        <v>0.71000003824995284</v>
      </c>
      <c r="U369" s="2">
        <f t="shared" si="17"/>
        <v>0.28999996175004711</v>
      </c>
    </row>
    <row r="370" spans="1:21" x14ac:dyDescent="0.3">
      <c r="A370">
        <v>10369</v>
      </c>
      <c r="B370" t="s">
        <v>162</v>
      </c>
      <c r="C370" t="s">
        <v>91</v>
      </c>
      <c r="D370" t="s">
        <v>30</v>
      </c>
      <c r="E370">
        <v>39</v>
      </c>
      <c r="F370" t="s">
        <v>119</v>
      </c>
      <c r="G370" t="s">
        <v>47</v>
      </c>
      <c r="H370" t="s">
        <v>48</v>
      </c>
      <c r="I370" t="s">
        <v>49</v>
      </c>
      <c r="J370">
        <v>8</v>
      </c>
      <c r="K370" s="1">
        <v>45805</v>
      </c>
      <c r="L370" s="1">
        <v>45818</v>
      </c>
      <c r="M370" t="s">
        <v>50</v>
      </c>
      <c r="N370" t="s">
        <v>26</v>
      </c>
      <c r="O370">
        <v>356735.86</v>
      </c>
      <c r="P370">
        <v>253282.46</v>
      </c>
      <c r="Q370">
        <v>103453.4</v>
      </c>
      <c r="R370" t="s">
        <v>32</v>
      </c>
      <c r="S370">
        <f t="shared" si="15"/>
        <v>13</v>
      </c>
      <c r="T370" s="2">
        <f t="shared" si="16"/>
        <v>0.70999999831808336</v>
      </c>
      <c r="U370" s="2">
        <f t="shared" si="17"/>
        <v>0.2900000016819167</v>
      </c>
    </row>
    <row r="371" spans="1:21" x14ac:dyDescent="0.3">
      <c r="A371">
        <v>10370</v>
      </c>
      <c r="B371" t="s">
        <v>33</v>
      </c>
      <c r="C371" t="s">
        <v>34</v>
      </c>
      <c r="D371" t="s">
        <v>20</v>
      </c>
      <c r="E371">
        <v>26</v>
      </c>
      <c r="F371" t="s">
        <v>35</v>
      </c>
      <c r="G371" t="s">
        <v>36</v>
      </c>
      <c r="H371" t="s">
        <v>37</v>
      </c>
      <c r="I371" t="s">
        <v>24</v>
      </c>
      <c r="J371">
        <v>12</v>
      </c>
      <c r="K371" s="1">
        <v>45940</v>
      </c>
      <c r="L371" s="1">
        <v>45948</v>
      </c>
      <c r="M371" t="s">
        <v>25</v>
      </c>
      <c r="N371" t="s">
        <v>26</v>
      </c>
      <c r="O371">
        <v>169347.84</v>
      </c>
      <c r="P371">
        <v>142252.19</v>
      </c>
      <c r="Q371">
        <v>27095.65</v>
      </c>
      <c r="R371" t="s">
        <v>32</v>
      </c>
      <c r="S371">
        <f t="shared" si="15"/>
        <v>8</v>
      </c>
      <c r="T371" s="2">
        <f t="shared" si="16"/>
        <v>0.84000002598202617</v>
      </c>
      <c r="U371" s="2">
        <f t="shared" si="17"/>
        <v>0.15999997401797392</v>
      </c>
    </row>
    <row r="372" spans="1:21" x14ac:dyDescent="0.3">
      <c r="A372">
        <v>10371</v>
      </c>
      <c r="B372" t="s">
        <v>121</v>
      </c>
      <c r="C372" t="s">
        <v>122</v>
      </c>
      <c r="D372" t="s">
        <v>20</v>
      </c>
      <c r="E372">
        <v>23</v>
      </c>
      <c r="F372" t="s">
        <v>59</v>
      </c>
      <c r="G372" t="s">
        <v>22</v>
      </c>
      <c r="H372" t="s">
        <v>23</v>
      </c>
      <c r="I372" t="s">
        <v>24</v>
      </c>
      <c r="J372">
        <v>15</v>
      </c>
      <c r="K372" s="1">
        <v>45666</v>
      </c>
      <c r="L372" s="1">
        <v>45672</v>
      </c>
      <c r="M372" t="s">
        <v>66</v>
      </c>
      <c r="N372" t="s">
        <v>51</v>
      </c>
      <c r="O372">
        <v>70954.34</v>
      </c>
      <c r="P372">
        <v>49668.04</v>
      </c>
      <c r="Q372">
        <v>21286.3</v>
      </c>
      <c r="R372" t="s">
        <v>32</v>
      </c>
      <c r="S372">
        <f t="shared" si="15"/>
        <v>6</v>
      </c>
      <c r="T372" s="2">
        <f t="shared" si="16"/>
        <v>0.70000002818714124</v>
      </c>
      <c r="U372" s="2">
        <f t="shared" si="17"/>
        <v>0.29999997181285881</v>
      </c>
    </row>
    <row r="373" spans="1:21" x14ac:dyDescent="0.3">
      <c r="A373">
        <v>10372</v>
      </c>
      <c r="B373" t="s">
        <v>104</v>
      </c>
      <c r="C373" t="s">
        <v>105</v>
      </c>
      <c r="D373" t="s">
        <v>30</v>
      </c>
      <c r="E373">
        <v>68</v>
      </c>
      <c r="F373" t="s">
        <v>21</v>
      </c>
      <c r="G373" t="s">
        <v>55</v>
      </c>
      <c r="H373" t="s">
        <v>56</v>
      </c>
      <c r="I373" t="s">
        <v>49</v>
      </c>
      <c r="J373">
        <v>10</v>
      </c>
      <c r="K373" s="1">
        <v>45771</v>
      </c>
      <c r="L373" s="1">
        <v>45776</v>
      </c>
      <c r="M373" t="s">
        <v>85</v>
      </c>
      <c r="N373" t="s">
        <v>51</v>
      </c>
      <c r="O373">
        <v>96381.07</v>
      </c>
      <c r="P373">
        <v>75177.23</v>
      </c>
      <c r="Q373">
        <v>21203.84</v>
      </c>
      <c r="R373" t="s">
        <v>32</v>
      </c>
      <c r="S373">
        <f t="shared" si="15"/>
        <v>5</v>
      </c>
      <c r="T373" s="2">
        <f t="shared" si="16"/>
        <v>0.7799999522727854</v>
      </c>
      <c r="U373" s="2">
        <f t="shared" si="17"/>
        <v>0.22000004772721446</v>
      </c>
    </row>
    <row r="374" spans="1:21" x14ac:dyDescent="0.3">
      <c r="A374">
        <v>10373</v>
      </c>
      <c r="B374" t="s">
        <v>99</v>
      </c>
      <c r="C374" t="s">
        <v>100</v>
      </c>
      <c r="D374" t="s">
        <v>30</v>
      </c>
      <c r="E374">
        <v>68</v>
      </c>
      <c r="F374" t="s">
        <v>69</v>
      </c>
      <c r="G374" t="s">
        <v>47</v>
      </c>
      <c r="H374" t="s">
        <v>48</v>
      </c>
      <c r="I374" t="s">
        <v>49</v>
      </c>
      <c r="J374">
        <v>8</v>
      </c>
      <c r="K374" s="1">
        <v>45762</v>
      </c>
      <c r="L374" s="1">
        <v>45773</v>
      </c>
      <c r="M374" t="s">
        <v>85</v>
      </c>
      <c r="N374" t="s">
        <v>26</v>
      </c>
      <c r="O374">
        <v>84186.33</v>
      </c>
      <c r="P374">
        <v>64823.47</v>
      </c>
      <c r="Q374">
        <v>19362.86</v>
      </c>
      <c r="R374" t="s">
        <v>32</v>
      </c>
      <c r="S374">
        <f t="shared" si="15"/>
        <v>11</v>
      </c>
      <c r="T374" s="2">
        <f t="shared" si="16"/>
        <v>0.76999995129850651</v>
      </c>
      <c r="U374" s="2">
        <f t="shared" si="17"/>
        <v>0.23000004870149346</v>
      </c>
    </row>
    <row r="375" spans="1:21" x14ac:dyDescent="0.3">
      <c r="A375">
        <v>10374</v>
      </c>
      <c r="B375" t="s">
        <v>67</v>
      </c>
      <c r="C375" t="s">
        <v>68</v>
      </c>
      <c r="D375" t="s">
        <v>20</v>
      </c>
      <c r="E375">
        <v>33</v>
      </c>
      <c r="F375" t="s">
        <v>69</v>
      </c>
      <c r="G375" t="s">
        <v>47</v>
      </c>
      <c r="H375" t="s">
        <v>48</v>
      </c>
      <c r="I375" t="s">
        <v>49</v>
      </c>
      <c r="J375">
        <v>8</v>
      </c>
      <c r="K375" s="1">
        <v>45875</v>
      </c>
      <c r="L375" s="1">
        <v>45885</v>
      </c>
      <c r="M375" t="s">
        <v>101</v>
      </c>
      <c r="N375" t="s">
        <v>26</v>
      </c>
      <c r="O375">
        <v>28665.93</v>
      </c>
      <c r="P375">
        <v>17486.22</v>
      </c>
      <c r="Q375">
        <v>11179.71</v>
      </c>
      <c r="R375" t="s">
        <v>32</v>
      </c>
      <c r="S375">
        <f t="shared" si="15"/>
        <v>10</v>
      </c>
      <c r="T375" s="2">
        <f t="shared" si="16"/>
        <v>0.61000009418846701</v>
      </c>
      <c r="U375" s="2">
        <f t="shared" si="17"/>
        <v>0.38999990581153304</v>
      </c>
    </row>
    <row r="376" spans="1:21" x14ac:dyDescent="0.3">
      <c r="A376">
        <v>10375</v>
      </c>
      <c r="B376" t="s">
        <v>97</v>
      </c>
      <c r="C376" t="s">
        <v>98</v>
      </c>
      <c r="D376" t="s">
        <v>20</v>
      </c>
      <c r="E376">
        <v>43</v>
      </c>
      <c r="F376" t="s">
        <v>69</v>
      </c>
      <c r="G376" t="s">
        <v>22</v>
      </c>
      <c r="H376" t="s">
        <v>23</v>
      </c>
      <c r="I376" t="s">
        <v>24</v>
      </c>
      <c r="J376">
        <v>15</v>
      </c>
      <c r="K376" s="1">
        <v>45803</v>
      </c>
      <c r="L376" s="1">
        <v>45805</v>
      </c>
      <c r="M376" t="s">
        <v>66</v>
      </c>
      <c r="N376" t="s">
        <v>26</v>
      </c>
      <c r="O376">
        <v>79743.649999999994</v>
      </c>
      <c r="P376">
        <v>49441.06</v>
      </c>
      <c r="Q376">
        <v>30302.59</v>
      </c>
      <c r="R376" t="s">
        <v>32</v>
      </c>
      <c r="S376">
        <f t="shared" si="15"/>
        <v>2</v>
      </c>
      <c r="T376" s="2">
        <f t="shared" si="16"/>
        <v>0.61999996237944965</v>
      </c>
      <c r="U376" s="2">
        <f t="shared" si="17"/>
        <v>0.3800000376205504</v>
      </c>
    </row>
    <row r="377" spans="1:21" x14ac:dyDescent="0.3">
      <c r="A377">
        <v>10376</v>
      </c>
      <c r="B377" t="s">
        <v>113</v>
      </c>
      <c r="C377" t="s">
        <v>114</v>
      </c>
      <c r="D377" t="s">
        <v>30</v>
      </c>
      <c r="E377">
        <v>33</v>
      </c>
      <c r="F377" t="s">
        <v>59</v>
      </c>
      <c r="G377" t="s">
        <v>41</v>
      </c>
      <c r="H377" t="s">
        <v>42</v>
      </c>
      <c r="I377" t="s">
        <v>43</v>
      </c>
      <c r="J377">
        <v>9</v>
      </c>
      <c r="K377" s="1">
        <v>45814</v>
      </c>
      <c r="L377" s="1">
        <v>45821</v>
      </c>
      <c r="M377" t="s">
        <v>72</v>
      </c>
      <c r="N377" t="s">
        <v>26</v>
      </c>
      <c r="O377">
        <v>23919.63</v>
      </c>
      <c r="P377">
        <v>15786.96</v>
      </c>
      <c r="Q377">
        <v>8132.67</v>
      </c>
      <c r="R377" t="s">
        <v>32</v>
      </c>
      <c r="S377">
        <f t="shared" si="15"/>
        <v>7</v>
      </c>
      <c r="T377" s="2">
        <f t="shared" si="16"/>
        <v>0.66000017558800028</v>
      </c>
      <c r="U377" s="2">
        <f t="shared" si="17"/>
        <v>0.33999982441199966</v>
      </c>
    </row>
    <row r="378" spans="1:21" x14ac:dyDescent="0.3">
      <c r="A378">
        <v>10377</v>
      </c>
      <c r="B378" t="s">
        <v>156</v>
      </c>
      <c r="C378" t="s">
        <v>157</v>
      </c>
      <c r="D378" t="s">
        <v>30</v>
      </c>
      <c r="E378">
        <v>47</v>
      </c>
      <c r="F378" t="s">
        <v>40</v>
      </c>
      <c r="G378" t="s">
        <v>41</v>
      </c>
      <c r="H378" t="s">
        <v>42</v>
      </c>
      <c r="I378" t="s">
        <v>43</v>
      </c>
      <c r="J378">
        <v>9</v>
      </c>
      <c r="K378" s="1">
        <v>45868</v>
      </c>
      <c r="L378" s="1">
        <v>45878</v>
      </c>
      <c r="M378" t="s">
        <v>112</v>
      </c>
      <c r="N378" t="s">
        <v>51</v>
      </c>
      <c r="O378">
        <v>37435.67</v>
      </c>
      <c r="P378">
        <v>31445.96</v>
      </c>
      <c r="Q378">
        <v>5989.71</v>
      </c>
      <c r="R378" t="s">
        <v>32</v>
      </c>
      <c r="S378">
        <f t="shared" si="15"/>
        <v>10</v>
      </c>
      <c r="T378" s="2">
        <f t="shared" si="16"/>
        <v>0.83999992520502509</v>
      </c>
      <c r="U378" s="2">
        <f t="shared" si="17"/>
        <v>0.16000007479497497</v>
      </c>
    </row>
    <row r="379" spans="1:21" x14ac:dyDescent="0.3">
      <c r="A379">
        <v>10378</v>
      </c>
      <c r="B379" t="s">
        <v>33</v>
      </c>
      <c r="C379" t="s">
        <v>34</v>
      </c>
      <c r="D379" t="s">
        <v>20</v>
      </c>
      <c r="E379">
        <v>26</v>
      </c>
      <c r="F379" t="s">
        <v>35</v>
      </c>
      <c r="G379" t="s">
        <v>60</v>
      </c>
      <c r="H379" t="s">
        <v>61</v>
      </c>
      <c r="I379" t="s">
        <v>62</v>
      </c>
      <c r="J379">
        <v>18</v>
      </c>
      <c r="K379" s="1">
        <v>45861</v>
      </c>
      <c r="L379" s="1">
        <v>45871</v>
      </c>
      <c r="M379" t="s">
        <v>96</v>
      </c>
      <c r="N379" t="s">
        <v>26</v>
      </c>
      <c r="O379">
        <v>123963.22</v>
      </c>
      <c r="P379">
        <v>79336.460000000006</v>
      </c>
      <c r="Q379">
        <v>44626.76</v>
      </c>
      <c r="R379" t="s">
        <v>32</v>
      </c>
      <c r="S379">
        <f t="shared" si="15"/>
        <v>10</v>
      </c>
      <c r="T379" s="2">
        <f t="shared" si="16"/>
        <v>0.63999999354647297</v>
      </c>
      <c r="U379" s="2">
        <f t="shared" si="17"/>
        <v>0.36000000645352709</v>
      </c>
    </row>
    <row r="380" spans="1:21" x14ac:dyDescent="0.3">
      <c r="A380">
        <v>10379</v>
      </c>
      <c r="B380" t="s">
        <v>99</v>
      </c>
      <c r="C380" t="s">
        <v>100</v>
      </c>
      <c r="D380" t="s">
        <v>30</v>
      </c>
      <c r="E380">
        <v>68</v>
      </c>
      <c r="F380" t="s">
        <v>69</v>
      </c>
      <c r="G380" t="s">
        <v>36</v>
      </c>
      <c r="H380" t="s">
        <v>37</v>
      </c>
      <c r="I380" t="s">
        <v>24</v>
      </c>
      <c r="J380">
        <v>12</v>
      </c>
      <c r="K380" s="1">
        <v>45821</v>
      </c>
      <c r="L380" s="1">
        <v>45830</v>
      </c>
      <c r="M380" t="s">
        <v>76</v>
      </c>
      <c r="N380" t="s">
        <v>26</v>
      </c>
      <c r="O380">
        <v>344431.32</v>
      </c>
      <c r="P380">
        <v>230768.98</v>
      </c>
      <c r="Q380">
        <v>113662.34</v>
      </c>
      <c r="R380" t="s">
        <v>27</v>
      </c>
      <c r="S380">
        <f t="shared" si="15"/>
        <v>9</v>
      </c>
      <c r="T380" s="2">
        <f t="shared" si="16"/>
        <v>0.66999998722531973</v>
      </c>
      <c r="U380" s="2">
        <f t="shared" si="17"/>
        <v>0.33000001277468027</v>
      </c>
    </row>
    <row r="381" spans="1:21" x14ac:dyDescent="0.3">
      <c r="A381">
        <v>10380</v>
      </c>
      <c r="B381" t="s">
        <v>121</v>
      </c>
      <c r="C381" t="s">
        <v>122</v>
      </c>
      <c r="D381" t="s">
        <v>20</v>
      </c>
      <c r="E381">
        <v>23</v>
      </c>
      <c r="F381" t="s">
        <v>59</v>
      </c>
      <c r="G381" t="s">
        <v>60</v>
      </c>
      <c r="H381" t="s">
        <v>61</v>
      </c>
      <c r="I381" t="s">
        <v>62</v>
      </c>
      <c r="J381">
        <v>18</v>
      </c>
      <c r="K381" s="1">
        <v>45960</v>
      </c>
      <c r="L381" s="1">
        <v>45971</v>
      </c>
      <c r="M381" t="s">
        <v>96</v>
      </c>
      <c r="N381" t="s">
        <v>26</v>
      </c>
      <c r="O381">
        <v>200793.18</v>
      </c>
      <c r="P381">
        <v>160634.54</v>
      </c>
      <c r="Q381">
        <v>40158.639999999999</v>
      </c>
      <c r="R381" t="s">
        <v>32</v>
      </c>
      <c r="S381">
        <f t="shared" si="15"/>
        <v>11</v>
      </c>
      <c r="T381" s="2">
        <f t="shared" si="16"/>
        <v>0.79999998007900475</v>
      </c>
      <c r="U381" s="2">
        <f t="shared" si="17"/>
        <v>0.20000001992099534</v>
      </c>
    </row>
    <row r="382" spans="1:21" x14ac:dyDescent="0.3">
      <c r="A382">
        <v>10381</v>
      </c>
      <c r="B382" t="s">
        <v>64</v>
      </c>
      <c r="C382" t="s">
        <v>65</v>
      </c>
      <c r="D382" t="s">
        <v>20</v>
      </c>
      <c r="E382">
        <v>27</v>
      </c>
      <c r="F382" t="s">
        <v>31</v>
      </c>
      <c r="G382" t="s">
        <v>41</v>
      </c>
      <c r="H382" t="s">
        <v>42</v>
      </c>
      <c r="I382" t="s">
        <v>43</v>
      </c>
      <c r="J382">
        <v>9</v>
      </c>
      <c r="K382" s="1">
        <v>45767</v>
      </c>
      <c r="L382" s="1">
        <v>45770</v>
      </c>
      <c r="M382" t="s">
        <v>72</v>
      </c>
      <c r="N382" t="s">
        <v>26</v>
      </c>
      <c r="O382">
        <v>14614.88</v>
      </c>
      <c r="P382">
        <v>11399.61</v>
      </c>
      <c r="Q382">
        <v>3215.27</v>
      </c>
      <c r="R382" t="s">
        <v>27</v>
      </c>
      <c r="S382">
        <f t="shared" si="15"/>
        <v>3</v>
      </c>
      <c r="T382" s="2">
        <f t="shared" si="16"/>
        <v>0.78000024632429421</v>
      </c>
      <c r="U382" s="2">
        <f t="shared" si="17"/>
        <v>0.21999975367570587</v>
      </c>
    </row>
    <row r="383" spans="1:21" x14ac:dyDescent="0.3">
      <c r="A383">
        <v>10382</v>
      </c>
      <c r="B383" t="s">
        <v>152</v>
      </c>
      <c r="C383" t="s">
        <v>153</v>
      </c>
      <c r="D383" t="s">
        <v>20</v>
      </c>
      <c r="E383">
        <v>27</v>
      </c>
      <c r="F383" t="s">
        <v>59</v>
      </c>
      <c r="G383" t="s">
        <v>47</v>
      </c>
      <c r="H383" t="s">
        <v>48</v>
      </c>
      <c r="I383" t="s">
        <v>49</v>
      </c>
      <c r="J383">
        <v>8</v>
      </c>
      <c r="K383" s="1">
        <v>45729</v>
      </c>
      <c r="L383" s="1">
        <v>45737</v>
      </c>
      <c r="M383" t="s">
        <v>50</v>
      </c>
      <c r="N383" t="s">
        <v>26</v>
      </c>
      <c r="O383">
        <v>378353.64</v>
      </c>
      <c r="P383">
        <v>272414.62</v>
      </c>
      <c r="Q383">
        <v>105939.02</v>
      </c>
      <c r="R383" t="s">
        <v>32</v>
      </c>
      <c r="S383">
        <f t="shared" si="15"/>
        <v>8</v>
      </c>
      <c r="T383" s="2">
        <f t="shared" si="16"/>
        <v>0.719999997885576</v>
      </c>
      <c r="U383" s="2">
        <f t="shared" si="17"/>
        <v>0.28000000211442394</v>
      </c>
    </row>
    <row r="384" spans="1:21" x14ac:dyDescent="0.3">
      <c r="A384">
        <v>10383</v>
      </c>
      <c r="B384" t="s">
        <v>57</v>
      </c>
      <c r="C384" t="s">
        <v>58</v>
      </c>
      <c r="D384" t="s">
        <v>20</v>
      </c>
      <c r="E384">
        <v>45</v>
      </c>
      <c r="F384" t="s">
        <v>59</v>
      </c>
      <c r="G384" t="s">
        <v>41</v>
      </c>
      <c r="H384" t="s">
        <v>42</v>
      </c>
      <c r="I384" t="s">
        <v>43</v>
      </c>
      <c r="J384">
        <v>9</v>
      </c>
      <c r="K384" s="1">
        <v>45850</v>
      </c>
      <c r="L384" s="1">
        <v>45855</v>
      </c>
      <c r="M384" t="s">
        <v>72</v>
      </c>
      <c r="N384" t="s">
        <v>26</v>
      </c>
      <c r="O384">
        <v>10855.7</v>
      </c>
      <c r="P384">
        <v>8576</v>
      </c>
      <c r="Q384">
        <v>2279.6999999999998</v>
      </c>
      <c r="R384" t="s">
        <v>32</v>
      </c>
      <c r="S384">
        <f t="shared" si="15"/>
        <v>5</v>
      </c>
      <c r="T384" s="2">
        <f t="shared" si="16"/>
        <v>0.78999972364748472</v>
      </c>
      <c r="U384" s="2">
        <f t="shared" si="17"/>
        <v>0.21000027635251522</v>
      </c>
    </row>
    <row r="385" spans="1:21" x14ac:dyDescent="0.3">
      <c r="A385">
        <v>10384</v>
      </c>
      <c r="B385" t="s">
        <v>133</v>
      </c>
      <c r="C385" t="s">
        <v>134</v>
      </c>
      <c r="D385" t="s">
        <v>20</v>
      </c>
      <c r="E385">
        <v>56</v>
      </c>
      <c r="F385" t="s">
        <v>40</v>
      </c>
      <c r="G385" t="s">
        <v>55</v>
      </c>
      <c r="H385" t="s">
        <v>56</v>
      </c>
      <c r="I385" t="s">
        <v>49</v>
      </c>
      <c r="J385">
        <v>10</v>
      </c>
      <c r="K385" s="1">
        <v>45770</v>
      </c>
      <c r="L385" s="1">
        <v>45784</v>
      </c>
      <c r="M385" t="s">
        <v>50</v>
      </c>
      <c r="N385" t="s">
        <v>26</v>
      </c>
      <c r="O385">
        <v>162925.70000000001</v>
      </c>
      <c r="P385">
        <v>125452.79</v>
      </c>
      <c r="Q385">
        <v>37472.910000000003</v>
      </c>
      <c r="R385" t="s">
        <v>32</v>
      </c>
      <c r="S385">
        <f t="shared" si="15"/>
        <v>14</v>
      </c>
      <c r="T385" s="2">
        <f t="shared" si="16"/>
        <v>0.77000000613776698</v>
      </c>
      <c r="U385" s="2">
        <f t="shared" si="17"/>
        <v>0.22999999386223291</v>
      </c>
    </row>
    <row r="386" spans="1:21" x14ac:dyDescent="0.3">
      <c r="A386">
        <v>10385</v>
      </c>
      <c r="B386" t="s">
        <v>18</v>
      </c>
      <c r="C386" t="s">
        <v>19</v>
      </c>
      <c r="D386" t="s">
        <v>20</v>
      </c>
      <c r="E386">
        <v>45</v>
      </c>
      <c r="F386" t="s">
        <v>21</v>
      </c>
      <c r="G386" t="s">
        <v>47</v>
      </c>
      <c r="H386" t="s">
        <v>48</v>
      </c>
      <c r="I386" t="s">
        <v>49</v>
      </c>
      <c r="J386">
        <v>8</v>
      </c>
      <c r="K386" s="1">
        <v>45819</v>
      </c>
      <c r="L386" s="1">
        <v>45831</v>
      </c>
      <c r="M386" t="s">
        <v>101</v>
      </c>
      <c r="N386" t="s">
        <v>26</v>
      </c>
      <c r="O386">
        <v>64792.36</v>
      </c>
      <c r="P386">
        <v>40819.19</v>
      </c>
      <c r="Q386">
        <v>23973.17</v>
      </c>
      <c r="R386" t="s">
        <v>32</v>
      </c>
      <c r="S386">
        <f t="shared" si="15"/>
        <v>12</v>
      </c>
      <c r="T386" s="2">
        <f t="shared" si="16"/>
        <v>0.63000004938853904</v>
      </c>
      <c r="U386" s="2">
        <f t="shared" si="17"/>
        <v>0.36999995061146096</v>
      </c>
    </row>
    <row r="387" spans="1:21" x14ac:dyDescent="0.3">
      <c r="A387">
        <v>10386</v>
      </c>
      <c r="B387" t="s">
        <v>141</v>
      </c>
      <c r="C387" t="s">
        <v>142</v>
      </c>
      <c r="D387" t="s">
        <v>30</v>
      </c>
      <c r="E387">
        <v>47</v>
      </c>
      <c r="F387" t="s">
        <v>54</v>
      </c>
      <c r="G387" t="s">
        <v>41</v>
      </c>
      <c r="H387" t="s">
        <v>42</v>
      </c>
      <c r="I387" t="s">
        <v>43</v>
      </c>
      <c r="J387">
        <v>9</v>
      </c>
      <c r="K387" s="1">
        <v>45955</v>
      </c>
      <c r="L387" s="1">
        <v>45965</v>
      </c>
      <c r="M387" t="s">
        <v>112</v>
      </c>
      <c r="N387" t="s">
        <v>51</v>
      </c>
      <c r="O387">
        <v>73007.759999999995</v>
      </c>
      <c r="P387">
        <v>62056.6</v>
      </c>
      <c r="Q387">
        <v>10951.16</v>
      </c>
      <c r="R387" t="s">
        <v>32</v>
      </c>
      <c r="S387">
        <f t="shared" ref="S387:S450" si="18">L387-K387</f>
        <v>10</v>
      </c>
      <c r="T387" s="2">
        <f t="shared" ref="T387:T450" si="19">P387/O387</f>
        <v>0.85000005478869645</v>
      </c>
      <c r="U387" s="2">
        <f t="shared" ref="U387:U450" si="20">Q387/O387</f>
        <v>0.14999994521130358</v>
      </c>
    </row>
    <row r="388" spans="1:21" x14ac:dyDescent="0.3">
      <c r="A388">
        <v>10387</v>
      </c>
      <c r="B388" t="s">
        <v>121</v>
      </c>
      <c r="C388" t="s">
        <v>122</v>
      </c>
      <c r="D388" t="s">
        <v>20</v>
      </c>
      <c r="E388">
        <v>23</v>
      </c>
      <c r="F388" t="s">
        <v>59</v>
      </c>
      <c r="G388" t="s">
        <v>22</v>
      </c>
      <c r="H388" t="s">
        <v>23</v>
      </c>
      <c r="I388" t="s">
        <v>24</v>
      </c>
      <c r="J388">
        <v>15</v>
      </c>
      <c r="K388" s="1">
        <v>45735</v>
      </c>
      <c r="L388" s="1">
        <v>45746</v>
      </c>
      <c r="M388" t="s">
        <v>66</v>
      </c>
      <c r="N388" t="s">
        <v>26</v>
      </c>
      <c r="O388">
        <v>31863</v>
      </c>
      <c r="P388">
        <v>21029.58</v>
      </c>
      <c r="Q388">
        <v>10833.42</v>
      </c>
      <c r="R388" t="s">
        <v>32</v>
      </c>
      <c r="S388">
        <f t="shared" si="18"/>
        <v>11</v>
      </c>
      <c r="T388" s="2">
        <f t="shared" si="19"/>
        <v>0.66</v>
      </c>
      <c r="U388" s="2">
        <f t="shared" si="20"/>
        <v>0.34</v>
      </c>
    </row>
    <row r="389" spans="1:21" x14ac:dyDescent="0.3">
      <c r="A389">
        <v>10388</v>
      </c>
      <c r="B389" t="s">
        <v>90</v>
      </c>
      <c r="C389" t="s">
        <v>91</v>
      </c>
      <c r="D389" t="s">
        <v>20</v>
      </c>
      <c r="E389">
        <v>48</v>
      </c>
      <c r="F389" t="s">
        <v>84</v>
      </c>
      <c r="G389" t="s">
        <v>55</v>
      </c>
      <c r="H389" t="s">
        <v>56</v>
      </c>
      <c r="I389" t="s">
        <v>49</v>
      </c>
      <c r="J389">
        <v>10</v>
      </c>
      <c r="K389" s="1">
        <v>45782</v>
      </c>
      <c r="L389" s="1">
        <v>45788</v>
      </c>
      <c r="M389" t="s">
        <v>50</v>
      </c>
      <c r="N389" t="s">
        <v>51</v>
      </c>
      <c r="O389">
        <v>251038.21</v>
      </c>
      <c r="P389">
        <v>178237.13</v>
      </c>
      <c r="Q389">
        <v>72801.08</v>
      </c>
      <c r="R389" t="s">
        <v>32</v>
      </c>
      <c r="S389">
        <f t="shared" si="18"/>
        <v>6</v>
      </c>
      <c r="T389" s="2">
        <f t="shared" si="19"/>
        <v>0.71000000358511162</v>
      </c>
      <c r="U389" s="2">
        <f t="shared" si="20"/>
        <v>0.28999999641488838</v>
      </c>
    </row>
    <row r="390" spans="1:21" x14ac:dyDescent="0.3">
      <c r="A390">
        <v>10389</v>
      </c>
      <c r="B390" t="s">
        <v>160</v>
      </c>
      <c r="C390" t="s">
        <v>161</v>
      </c>
      <c r="D390" t="s">
        <v>20</v>
      </c>
      <c r="E390">
        <v>18</v>
      </c>
      <c r="F390" t="s">
        <v>54</v>
      </c>
      <c r="G390" t="s">
        <v>36</v>
      </c>
      <c r="H390" t="s">
        <v>37</v>
      </c>
      <c r="I390" t="s">
        <v>24</v>
      </c>
      <c r="J390">
        <v>12</v>
      </c>
      <c r="K390" s="1">
        <v>45772</v>
      </c>
      <c r="L390" s="1">
        <v>45777</v>
      </c>
      <c r="M390" t="s">
        <v>76</v>
      </c>
      <c r="N390" t="s">
        <v>51</v>
      </c>
      <c r="O390">
        <v>160999.88</v>
      </c>
      <c r="P390">
        <v>107869.92</v>
      </c>
      <c r="Q390">
        <v>53129.96</v>
      </c>
      <c r="R390" t="s">
        <v>27</v>
      </c>
      <c r="S390">
        <f t="shared" si="18"/>
        <v>5</v>
      </c>
      <c r="T390" s="2">
        <f t="shared" si="19"/>
        <v>0.67000000248447389</v>
      </c>
      <c r="U390" s="2">
        <f t="shared" si="20"/>
        <v>0.32999999751552611</v>
      </c>
    </row>
    <row r="391" spans="1:21" x14ac:dyDescent="0.3">
      <c r="A391">
        <v>10390</v>
      </c>
      <c r="B391" t="s">
        <v>92</v>
      </c>
      <c r="C391" t="s">
        <v>93</v>
      </c>
      <c r="D391" t="s">
        <v>20</v>
      </c>
      <c r="E391">
        <v>40</v>
      </c>
      <c r="F391" t="s">
        <v>54</v>
      </c>
      <c r="G391" t="s">
        <v>60</v>
      </c>
      <c r="H391" t="s">
        <v>61</v>
      </c>
      <c r="I391" t="s">
        <v>62</v>
      </c>
      <c r="J391">
        <v>18</v>
      </c>
      <c r="K391" s="1">
        <v>45776</v>
      </c>
      <c r="L391" s="1">
        <v>45788</v>
      </c>
      <c r="M391" t="s">
        <v>63</v>
      </c>
      <c r="N391" t="s">
        <v>51</v>
      </c>
      <c r="O391">
        <v>19770.87</v>
      </c>
      <c r="P391">
        <v>14630.44</v>
      </c>
      <c r="Q391">
        <v>5140.43</v>
      </c>
      <c r="R391" t="s">
        <v>32</v>
      </c>
      <c r="S391">
        <f t="shared" si="18"/>
        <v>12</v>
      </c>
      <c r="T391" s="2">
        <f t="shared" si="19"/>
        <v>0.73999980779803831</v>
      </c>
      <c r="U391" s="2">
        <f t="shared" si="20"/>
        <v>0.2600001922019618</v>
      </c>
    </row>
    <row r="392" spans="1:21" x14ac:dyDescent="0.3">
      <c r="A392">
        <v>10391</v>
      </c>
      <c r="B392" t="s">
        <v>94</v>
      </c>
      <c r="C392" t="s">
        <v>95</v>
      </c>
      <c r="D392" t="s">
        <v>30</v>
      </c>
      <c r="E392">
        <v>66</v>
      </c>
      <c r="F392" t="s">
        <v>54</v>
      </c>
      <c r="G392" t="s">
        <v>47</v>
      </c>
      <c r="H392" t="s">
        <v>48</v>
      </c>
      <c r="I392" t="s">
        <v>49</v>
      </c>
      <c r="J392">
        <v>8</v>
      </c>
      <c r="K392" s="1">
        <v>45733</v>
      </c>
      <c r="L392" s="1">
        <v>45738</v>
      </c>
      <c r="M392" t="s">
        <v>85</v>
      </c>
      <c r="N392" t="s">
        <v>26</v>
      </c>
      <c r="O392">
        <v>112534.34</v>
      </c>
      <c r="P392">
        <v>83275.41</v>
      </c>
      <c r="Q392">
        <v>29258.93</v>
      </c>
      <c r="R392" t="s">
        <v>32</v>
      </c>
      <c r="S392">
        <f t="shared" si="18"/>
        <v>5</v>
      </c>
      <c r="T392" s="2">
        <f t="shared" si="19"/>
        <v>0.73999998578211779</v>
      </c>
      <c r="U392" s="2">
        <f t="shared" si="20"/>
        <v>0.26000001421788232</v>
      </c>
    </row>
    <row r="393" spans="1:21" x14ac:dyDescent="0.3">
      <c r="A393">
        <v>10392</v>
      </c>
      <c r="B393" t="s">
        <v>135</v>
      </c>
      <c r="C393" t="s">
        <v>136</v>
      </c>
      <c r="D393" t="s">
        <v>30</v>
      </c>
      <c r="E393">
        <v>52</v>
      </c>
      <c r="F393" t="s">
        <v>35</v>
      </c>
      <c r="G393" t="s">
        <v>55</v>
      </c>
      <c r="H393" t="s">
        <v>56</v>
      </c>
      <c r="I393" t="s">
        <v>49</v>
      </c>
      <c r="J393">
        <v>10</v>
      </c>
      <c r="K393" s="1">
        <v>45693</v>
      </c>
      <c r="L393" s="1">
        <v>45705</v>
      </c>
      <c r="M393" t="s">
        <v>50</v>
      </c>
      <c r="N393" t="s">
        <v>26</v>
      </c>
      <c r="O393">
        <v>183678.78</v>
      </c>
      <c r="P393">
        <v>123064.78</v>
      </c>
      <c r="Q393">
        <v>60614</v>
      </c>
      <c r="R393" t="s">
        <v>32</v>
      </c>
      <c r="S393">
        <f t="shared" si="18"/>
        <v>12</v>
      </c>
      <c r="T393" s="2">
        <f t="shared" si="19"/>
        <v>0.66999998584485376</v>
      </c>
      <c r="U393" s="2">
        <f t="shared" si="20"/>
        <v>0.33000001415514629</v>
      </c>
    </row>
    <row r="394" spans="1:21" x14ac:dyDescent="0.3">
      <c r="A394">
        <v>10393</v>
      </c>
      <c r="B394" t="s">
        <v>152</v>
      </c>
      <c r="C394" t="s">
        <v>153</v>
      </c>
      <c r="D394" t="s">
        <v>20</v>
      </c>
      <c r="E394">
        <v>27</v>
      </c>
      <c r="F394" t="s">
        <v>59</v>
      </c>
      <c r="G394" t="s">
        <v>60</v>
      </c>
      <c r="H394" t="s">
        <v>61</v>
      </c>
      <c r="I394" t="s">
        <v>62</v>
      </c>
      <c r="J394">
        <v>18</v>
      </c>
      <c r="K394" s="1">
        <v>45706</v>
      </c>
      <c r="L394" s="1">
        <v>45709</v>
      </c>
      <c r="M394" t="s">
        <v>96</v>
      </c>
      <c r="N394" t="s">
        <v>26</v>
      </c>
      <c r="O394">
        <v>209750.86</v>
      </c>
      <c r="P394">
        <v>178288.23</v>
      </c>
      <c r="Q394">
        <v>31462.63</v>
      </c>
      <c r="R394" t="s">
        <v>32</v>
      </c>
      <c r="S394">
        <f t="shared" si="18"/>
        <v>3</v>
      </c>
      <c r="T394" s="2">
        <f t="shared" si="19"/>
        <v>0.84999999523243919</v>
      </c>
      <c r="U394" s="2">
        <f t="shared" si="20"/>
        <v>0.15000000476756092</v>
      </c>
    </row>
    <row r="395" spans="1:21" x14ac:dyDescent="0.3">
      <c r="A395">
        <v>10394</v>
      </c>
      <c r="B395" t="s">
        <v>86</v>
      </c>
      <c r="C395" t="s">
        <v>87</v>
      </c>
      <c r="D395" t="s">
        <v>30</v>
      </c>
      <c r="E395">
        <v>23</v>
      </c>
      <c r="F395" t="s">
        <v>31</v>
      </c>
      <c r="G395" t="s">
        <v>22</v>
      </c>
      <c r="H395" t="s">
        <v>23</v>
      </c>
      <c r="I395" t="s">
        <v>24</v>
      </c>
      <c r="J395">
        <v>15</v>
      </c>
      <c r="K395" s="1">
        <v>45727</v>
      </c>
      <c r="L395" s="1">
        <v>45733</v>
      </c>
      <c r="M395" t="s">
        <v>66</v>
      </c>
      <c r="N395" t="s">
        <v>51</v>
      </c>
      <c r="O395">
        <v>57642.17</v>
      </c>
      <c r="P395">
        <v>41502.36</v>
      </c>
      <c r="Q395">
        <v>16139.81</v>
      </c>
      <c r="R395" t="s">
        <v>32</v>
      </c>
      <c r="S395">
        <f t="shared" si="18"/>
        <v>6</v>
      </c>
      <c r="T395" s="2">
        <f t="shared" si="19"/>
        <v>0.71999995836381592</v>
      </c>
      <c r="U395" s="2">
        <f t="shared" si="20"/>
        <v>0.28000004163618408</v>
      </c>
    </row>
    <row r="396" spans="1:21" x14ac:dyDescent="0.3">
      <c r="A396">
        <v>10395</v>
      </c>
      <c r="B396" t="s">
        <v>120</v>
      </c>
      <c r="C396" t="s">
        <v>74</v>
      </c>
      <c r="D396" t="s">
        <v>20</v>
      </c>
      <c r="E396">
        <v>61</v>
      </c>
      <c r="F396" t="s">
        <v>69</v>
      </c>
      <c r="G396" t="s">
        <v>41</v>
      </c>
      <c r="H396" t="s">
        <v>42</v>
      </c>
      <c r="I396" t="s">
        <v>43</v>
      </c>
      <c r="J396">
        <v>9</v>
      </c>
      <c r="K396" s="1">
        <v>45671</v>
      </c>
      <c r="L396" s="1">
        <v>45682</v>
      </c>
      <c r="M396" t="s">
        <v>112</v>
      </c>
      <c r="N396" t="s">
        <v>26</v>
      </c>
      <c r="O396">
        <v>48138.42</v>
      </c>
      <c r="P396">
        <v>31771.360000000001</v>
      </c>
      <c r="Q396">
        <v>16367.06</v>
      </c>
      <c r="R396" t="s">
        <v>27</v>
      </c>
      <c r="S396">
        <f t="shared" si="18"/>
        <v>11</v>
      </c>
      <c r="T396" s="2">
        <f t="shared" si="19"/>
        <v>0.66000005816559837</v>
      </c>
      <c r="U396" s="2">
        <f t="shared" si="20"/>
        <v>0.33999994183440169</v>
      </c>
    </row>
    <row r="397" spans="1:21" x14ac:dyDescent="0.3">
      <c r="A397">
        <v>10396</v>
      </c>
      <c r="B397" t="s">
        <v>57</v>
      </c>
      <c r="C397" t="s">
        <v>58</v>
      </c>
      <c r="D397" t="s">
        <v>20</v>
      </c>
      <c r="E397">
        <v>45</v>
      </c>
      <c r="F397" t="s">
        <v>59</v>
      </c>
      <c r="G397" t="s">
        <v>36</v>
      </c>
      <c r="H397" t="s">
        <v>37</v>
      </c>
      <c r="I397" t="s">
        <v>24</v>
      </c>
      <c r="J397">
        <v>12</v>
      </c>
      <c r="K397" s="1">
        <v>45979</v>
      </c>
      <c r="L397" s="1">
        <v>45982</v>
      </c>
      <c r="M397" t="s">
        <v>76</v>
      </c>
      <c r="N397" t="s">
        <v>26</v>
      </c>
      <c r="O397">
        <v>172767.38</v>
      </c>
      <c r="P397">
        <v>117481.82</v>
      </c>
      <c r="Q397">
        <v>55285.56</v>
      </c>
      <c r="R397" t="s">
        <v>32</v>
      </c>
      <c r="S397">
        <f t="shared" si="18"/>
        <v>3</v>
      </c>
      <c r="T397" s="2">
        <f t="shared" si="19"/>
        <v>0.68000000926100757</v>
      </c>
      <c r="U397" s="2">
        <f t="shared" si="20"/>
        <v>0.31999999073899249</v>
      </c>
    </row>
    <row r="398" spans="1:21" x14ac:dyDescent="0.3">
      <c r="A398">
        <v>10397</v>
      </c>
      <c r="B398" t="s">
        <v>127</v>
      </c>
      <c r="C398" t="s">
        <v>128</v>
      </c>
      <c r="D398" t="s">
        <v>20</v>
      </c>
      <c r="E398">
        <v>41</v>
      </c>
      <c r="F398" t="s">
        <v>54</v>
      </c>
      <c r="G398" t="s">
        <v>36</v>
      </c>
      <c r="H398" t="s">
        <v>37</v>
      </c>
      <c r="I398" t="s">
        <v>24</v>
      </c>
      <c r="J398">
        <v>12</v>
      </c>
      <c r="K398" s="1">
        <v>45882</v>
      </c>
      <c r="L398" s="1">
        <v>45896</v>
      </c>
      <c r="M398" t="s">
        <v>25</v>
      </c>
      <c r="N398" t="s">
        <v>26</v>
      </c>
      <c r="O398">
        <v>132518.76999999999</v>
      </c>
      <c r="P398">
        <v>83486.83</v>
      </c>
      <c r="Q398">
        <v>49031.94</v>
      </c>
      <c r="R398" t="s">
        <v>32</v>
      </c>
      <c r="S398">
        <f t="shared" si="18"/>
        <v>14</v>
      </c>
      <c r="T398" s="2">
        <f t="shared" si="19"/>
        <v>0.63000003697589413</v>
      </c>
      <c r="U398" s="2">
        <f t="shared" si="20"/>
        <v>0.36999996302410598</v>
      </c>
    </row>
    <row r="399" spans="1:21" x14ac:dyDescent="0.3">
      <c r="A399">
        <v>10398</v>
      </c>
      <c r="B399" t="s">
        <v>154</v>
      </c>
      <c r="C399" t="s">
        <v>155</v>
      </c>
      <c r="D399" t="s">
        <v>30</v>
      </c>
      <c r="E399">
        <v>67</v>
      </c>
      <c r="F399" t="s">
        <v>119</v>
      </c>
      <c r="G399" t="s">
        <v>88</v>
      </c>
      <c r="H399" t="s">
        <v>89</v>
      </c>
      <c r="I399" t="s">
        <v>62</v>
      </c>
      <c r="J399">
        <v>14</v>
      </c>
      <c r="K399" s="1">
        <v>45739</v>
      </c>
      <c r="L399" s="1">
        <v>45753</v>
      </c>
      <c r="M399" t="s">
        <v>63</v>
      </c>
      <c r="N399" t="s">
        <v>26</v>
      </c>
      <c r="O399">
        <v>36774.639999999999</v>
      </c>
      <c r="P399">
        <v>29419.71</v>
      </c>
      <c r="Q399">
        <v>7354.93</v>
      </c>
      <c r="R399" t="s">
        <v>32</v>
      </c>
      <c r="S399">
        <f t="shared" si="18"/>
        <v>14</v>
      </c>
      <c r="T399" s="2">
        <f t="shared" si="19"/>
        <v>0.79999994561469534</v>
      </c>
      <c r="U399" s="2">
        <f t="shared" si="20"/>
        <v>0.20000005438530466</v>
      </c>
    </row>
    <row r="400" spans="1:21" x14ac:dyDescent="0.3">
      <c r="A400">
        <v>10399</v>
      </c>
      <c r="B400" t="s">
        <v>18</v>
      </c>
      <c r="C400" t="s">
        <v>19</v>
      </c>
      <c r="D400" t="s">
        <v>20</v>
      </c>
      <c r="E400">
        <v>45</v>
      </c>
      <c r="F400" t="s">
        <v>21</v>
      </c>
      <c r="G400" t="s">
        <v>47</v>
      </c>
      <c r="H400" t="s">
        <v>48</v>
      </c>
      <c r="I400" t="s">
        <v>49</v>
      </c>
      <c r="J400">
        <v>8</v>
      </c>
      <c r="K400" s="1">
        <v>45876</v>
      </c>
      <c r="L400" s="1">
        <v>45885</v>
      </c>
      <c r="M400" t="s">
        <v>85</v>
      </c>
      <c r="N400" t="s">
        <v>26</v>
      </c>
      <c r="O400">
        <v>72547.399999999994</v>
      </c>
      <c r="P400">
        <v>56586.97</v>
      </c>
      <c r="Q400">
        <v>15960.43</v>
      </c>
      <c r="R400" t="s">
        <v>32</v>
      </c>
      <c r="S400">
        <f t="shared" si="18"/>
        <v>9</v>
      </c>
      <c r="T400" s="2">
        <f t="shared" si="19"/>
        <v>0.77999997243181707</v>
      </c>
      <c r="U400" s="2">
        <f t="shared" si="20"/>
        <v>0.22000002756818304</v>
      </c>
    </row>
    <row r="401" spans="1:21" x14ac:dyDescent="0.3">
      <c r="A401">
        <v>10400</v>
      </c>
      <c r="B401" t="s">
        <v>143</v>
      </c>
      <c r="C401" t="s">
        <v>74</v>
      </c>
      <c r="D401" t="s">
        <v>20</v>
      </c>
      <c r="E401">
        <v>35</v>
      </c>
      <c r="F401" t="s">
        <v>119</v>
      </c>
      <c r="G401" t="s">
        <v>70</v>
      </c>
      <c r="H401" t="s">
        <v>71</v>
      </c>
      <c r="I401" t="s">
        <v>43</v>
      </c>
      <c r="J401">
        <v>11</v>
      </c>
      <c r="K401" s="1">
        <v>45698</v>
      </c>
      <c r="L401" s="1">
        <v>45710</v>
      </c>
      <c r="M401" t="s">
        <v>44</v>
      </c>
      <c r="N401" t="s">
        <v>26</v>
      </c>
      <c r="O401">
        <v>26499.97</v>
      </c>
      <c r="P401">
        <v>19079.98</v>
      </c>
      <c r="Q401">
        <v>7419.99</v>
      </c>
      <c r="R401" t="s">
        <v>27</v>
      </c>
      <c r="S401">
        <f t="shared" si="18"/>
        <v>12</v>
      </c>
      <c r="T401" s="2">
        <f t="shared" si="19"/>
        <v>0.72000006037742681</v>
      </c>
      <c r="U401" s="2">
        <f t="shared" si="20"/>
        <v>0.27999993962257314</v>
      </c>
    </row>
    <row r="402" spans="1:21" x14ac:dyDescent="0.3">
      <c r="A402">
        <v>10401</v>
      </c>
      <c r="B402" t="s">
        <v>73</v>
      </c>
      <c r="C402" t="s">
        <v>74</v>
      </c>
      <c r="D402" t="s">
        <v>20</v>
      </c>
      <c r="E402">
        <v>53</v>
      </c>
      <c r="F402" t="s">
        <v>75</v>
      </c>
      <c r="G402" t="s">
        <v>70</v>
      </c>
      <c r="H402" t="s">
        <v>71</v>
      </c>
      <c r="I402" t="s">
        <v>43</v>
      </c>
      <c r="J402">
        <v>11</v>
      </c>
      <c r="K402" s="1">
        <v>45740</v>
      </c>
      <c r="L402" s="1">
        <v>45753</v>
      </c>
      <c r="M402" t="s">
        <v>112</v>
      </c>
      <c r="N402" t="s">
        <v>26</v>
      </c>
      <c r="O402">
        <v>61535.93</v>
      </c>
      <c r="P402">
        <v>39998.35</v>
      </c>
      <c r="Q402">
        <v>21537.58</v>
      </c>
      <c r="R402" t="s">
        <v>32</v>
      </c>
      <c r="S402">
        <f t="shared" si="18"/>
        <v>13</v>
      </c>
      <c r="T402" s="2">
        <f t="shared" si="19"/>
        <v>0.64999992687199171</v>
      </c>
      <c r="U402" s="2">
        <f t="shared" si="20"/>
        <v>0.35000007312800835</v>
      </c>
    </row>
    <row r="403" spans="1:21" x14ac:dyDescent="0.3">
      <c r="A403">
        <v>10402</v>
      </c>
      <c r="B403" t="s">
        <v>113</v>
      </c>
      <c r="C403" t="s">
        <v>114</v>
      </c>
      <c r="D403" t="s">
        <v>30</v>
      </c>
      <c r="E403">
        <v>33</v>
      </c>
      <c r="F403" t="s">
        <v>59</v>
      </c>
      <c r="G403" t="s">
        <v>36</v>
      </c>
      <c r="H403" t="s">
        <v>37</v>
      </c>
      <c r="I403" t="s">
        <v>24</v>
      </c>
      <c r="J403">
        <v>12</v>
      </c>
      <c r="K403" s="1">
        <v>45691</v>
      </c>
      <c r="L403" s="1">
        <v>45702</v>
      </c>
      <c r="M403" t="s">
        <v>25</v>
      </c>
      <c r="N403" t="s">
        <v>26</v>
      </c>
      <c r="O403">
        <v>173502.06</v>
      </c>
      <c r="P403">
        <v>140536.67000000001</v>
      </c>
      <c r="Q403">
        <v>32965.39</v>
      </c>
      <c r="R403" t="s">
        <v>27</v>
      </c>
      <c r="S403">
        <f t="shared" si="18"/>
        <v>11</v>
      </c>
      <c r="T403" s="2">
        <f t="shared" si="19"/>
        <v>0.81000000806906858</v>
      </c>
      <c r="U403" s="2">
        <f t="shared" si="20"/>
        <v>0.18999999193093153</v>
      </c>
    </row>
    <row r="404" spans="1:21" x14ac:dyDescent="0.3">
      <c r="A404">
        <v>10403</v>
      </c>
      <c r="B404" t="s">
        <v>73</v>
      </c>
      <c r="C404" t="s">
        <v>74</v>
      </c>
      <c r="D404" t="s">
        <v>20</v>
      </c>
      <c r="E404">
        <v>53</v>
      </c>
      <c r="F404" t="s">
        <v>75</v>
      </c>
      <c r="G404" t="s">
        <v>36</v>
      </c>
      <c r="H404" t="s">
        <v>37</v>
      </c>
      <c r="I404" t="s">
        <v>24</v>
      </c>
      <c r="J404">
        <v>12</v>
      </c>
      <c r="K404" s="1">
        <v>45933</v>
      </c>
      <c r="L404" s="1">
        <v>45939</v>
      </c>
      <c r="M404" t="s">
        <v>66</v>
      </c>
      <c r="N404" t="s">
        <v>26</v>
      </c>
      <c r="O404">
        <v>84069.71</v>
      </c>
      <c r="P404">
        <v>63052.28</v>
      </c>
      <c r="Q404">
        <v>21017.43</v>
      </c>
      <c r="R404" t="s">
        <v>32</v>
      </c>
      <c r="S404">
        <f t="shared" si="18"/>
        <v>6</v>
      </c>
      <c r="T404" s="2">
        <f t="shared" si="19"/>
        <v>0.74999997026277354</v>
      </c>
      <c r="U404" s="2">
        <f t="shared" si="20"/>
        <v>0.2500000297372264</v>
      </c>
    </row>
    <row r="405" spans="1:21" x14ac:dyDescent="0.3">
      <c r="A405">
        <v>10404</v>
      </c>
      <c r="B405" t="s">
        <v>102</v>
      </c>
      <c r="C405" t="s">
        <v>103</v>
      </c>
      <c r="D405" t="s">
        <v>30</v>
      </c>
      <c r="E405">
        <v>59</v>
      </c>
      <c r="F405" t="s">
        <v>75</v>
      </c>
      <c r="G405" t="s">
        <v>47</v>
      </c>
      <c r="H405" t="s">
        <v>48</v>
      </c>
      <c r="I405" t="s">
        <v>49</v>
      </c>
      <c r="J405">
        <v>8</v>
      </c>
      <c r="K405" s="1">
        <v>45900</v>
      </c>
      <c r="L405" s="1">
        <v>45911</v>
      </c>
      <c r="M405" t="s">
        <v>85</v>
      </c>
      <c r="N405" t="s">
        <v>51</v>
      </c>
      <c r="O405">
        <v>87413.01</v>
      </c>
      <c r="P405">
        <v>57692.59</v>
      </c>
      <c r="Q405">
        <v>29720.42</v>
      </c>
      <c r="R405" t="s">
        <v>27</v>
      </c>
      <c r="S405">
        <f t="shared" si="18"/>
        <v>11</v>
      </c>
      <c r="T405" s="2">
        <f t="shared" si="19"/>
        <v>0.66000003889581194</v>
      </c>
      <c r="U405" s="2">
        <f t="shared" si="20"/>
        <v>0.33999996110418806</v>
      </c>
    </row>
    <row r="406" spans="1:21" x14ac:dyDescent="0.3">
      <c r="A406">
        <v>10405</v>
      </c>
      <c r="B406" t="s">
        <v>73</v>
      </c>
      <c r="C406" t="s">
        <v>74</v>
      </c>
      <c r="D406" t="s">
        <v>20</v>
      </c>
      <c r="E406">
        <v>53</v>
      </c>
      <c r="F406" t="s">
        <v>75</v>
      </c>
      <c r="G406" t="s">
        <v>88</v>
      </c>
      <c r="H406" t="s">
        <v>89</v>
      </c>
      <c r="I406" t="s">
        <v>62</v>
      </c>
      <c r="J406">
        <v>14</v>
      </c>
      <c r="K406" s="1">
        <v>45711</v>
      </c>
      <c r="L406" s="1">
        <v>45723</v>
      </c>
      <c r="M406" t="s">
        <v>77</v>
      </c>
      <c r="N406" t="s">
        <v>26</v>
      </c>
      <c r="O406">
        <v>77123.789999999994</v>
      </c>
      <c r="P406">
        <v>57071.6</v>
      </c>
      <c r="Q406">
        <v>20052.189999999999</v>
      </c>
      <c r="R406" t="s">
        <v>27</v>
      </c>
      <c r="S406">
        <f t="shared" si="18"/>
        <v>12</v>
      </c>
      <c r="T406" s="2">
        <f t="shared" si="19"/>
        <v>0.73999994035562833</v>
      </c>
      <c r="U406" s="2">
        <f t="shared" si="20"/>
        <v>0.26000005964437173</v>
      </c>
    </row>
    <row r="407" spans="1:21" x14ac:dyDescent="0.3">
      <c r="A407">
        <v>10406</v>
      </c>
      <c r="B407" t="s">
        <v>38</v>
      </c>
      <c r="C407" t="s">
        <v>39</v>
      </c>
      <c r="D407" t="s">
        <v>30</v>
      </c>
      <c r="E407">
        <v>62</v>
      </c>
      <c r="F407" t="s">
        <v>40</v>
      </c>
      <c r="G407" t="s">
        <v>47</v>
      </c>
      <c r="H407" t="s">
        <v>48</v>
      </c>
      <c r="I407" t="s">
        <v>49</v>
      </c>
      <c r="J407">
        <v>8</v>
      </c>
      <c r="K407" s="1">
        <v>45949</v>
      </c>
      <c r="L407" s="1">
        <v>45962</v>
      </c>
      <c r="M407" t="s">
        <v>50</v>
      </c>
      <c r="N407" t="s">
        <v>26</v>
      </c>
      <c r="O407">
        <v>161758.18</v>
      </c>
      <c r="P407">
        <v>126171.38</v>
      </c>
      <c r="Q407">
        <v>35586.800000000003</v>
      </c>
      <c r="R407" t="s">
        <v>32</v>
      </c>
      <c r="S407">
        <f t="shared" si="18"/>
        <v>13</v>
      </c>
      <c r="T407" s="2">
        <f t="shared" si="19"/>
        <v>0.77999999752717308</v>
      </c>
      <c r="U407" s="2">
        <f t="shared" si="20"/>
        <v>0.22000000247282706</v>
      </c>
    </row>
    <row r="408" spans="1:21" x14ac:dyDescent="0.3">
      <c r="A408">
        <v>10407</v>
      </c>
      <c r="B408" t="s">
        <v>33</v>
      </c>
      <c r="C408" t="s">
        <v>34</v>
      </c>
      <c r="D408" t="s">
        <v>20</v>
      </c>
      <c r="E408">
        <v>26</v>
      </c>
      <c r="F408" t="s">
        <v>35</v>
      </c>
      <c r="G408" t="s">
        <v>70</v>
      </c>
      <c r="H408" t="s">
        <v>71</v>
      </c>
      <c r="I408" t="s">
        <v>43</v>
      </c>
      <c r="J408">
        <v>11</v>
      </c>
      <c r="K408" s="1">
        <v>45701</v>
      </c>
      <c r="L408" s="1">
        <v>45705</v>
      </c>
      <c r="M408" t="s">
        <v>112</v>
      </c>
      <c r="N408" t="s">
        <v>51</v>
      </c>
      <c r="O408">
        <v>74431.5</v>
      </c>
      <c r="P408">
        <v>57312.26</v>
      </c>
      <c r="Q408">
        <v>17119.240000000002</v>
      </c>
      <c r="R408" t="s">
        <v>27</v>
      </c>
      <c r="S408">
        <f t="shared" si="18"/>
        <v>4</v>
      </c>
      <c r="T408" s="2">
        <f t="shared" si="19"/>
        <v>0.77000006717585967</v>
      </c>
      <c r="U408" s="2">
        <f t="shared" si="20"/>
        <v>0.22999993282414033</v>
      </c>
    </row>
    <row r="409" spans="1:21" x14ac:dyDescent="0.3">
      <c r="A409">
        <v>10408</v>
      </c>
      <c r="B409" t="s">
        <v>127</v>
      </c>
      <c r="C409" t="s">
        <v>128</v>
      </c>
      <c r="D409" t="s">
        <v>20</v>
      </c>
      <c r="E409">
        <v>41</v>
      </c>
      <c r="F409" t="s">
        <v>54</v>
      </c>
      <c r="G409" t="s">
        <v>60</v>
      </c>
      <c r="H409" t="s">
        <v>61</v>
      </c>
      <c r="I409" t="s">
        <v>62</v>
      </c>
      <c r="J409">
        <v>18</v>
      </c>
      <c r="K409" s="1">
        <v>45905</v>
      </c>
      <c r="L409" s="1">
        <v>45915</v>
      </c>
      <c r="M409" t="s">
        <v>63</v>
      </c>
      <c r="N409" t="s">
        <v>51</v>
      </c>
      <c r="O409">
        <v>44540.7</v>
      </c>
      <c r="P409">
        <v>30733.08</v>
      </c>
      <c r="Q409">
        <v>13807.62</v>
      </c>
      <c r="R409" t="s">
        <v>32</v>
      </c>
      <c r="S409">
        <f t="shared" si="18"/>
        <v>10</v>
      </c>
      <c r="T409" s="2">
        <f t="shared" si="19"/>
        <v>0.68999993264587234</v>
      </c>
      <c r="U409" s="2">
        <f t="shared" si="20"/>
        <v>0.31000006735412783</v>
      </c>
    </row>
    <row r="410" spans="1:21" x14ac:dyDescent="0.3">
      <c r="A410">
        <v>10409</v>
      </c>
      <c r="B410" t="s">
        <v>143</v>
      </c>
      <c r="C410" t="s">
        <v>74</v>
      </c>
      <c r="D410" t="s">
        <v>20</v>
      </c>
      <c r="E410">
        <v>35</v>
      </c>
      <c r="F410" t="s">
        <v>119</v>
      </c>
      <c r="G410" t="s">
        <v>88</v>
      </c>
      <c r="H410" t="s">
        <v>89</v>
      </c>
      <c r="I410" t="s">
        <v>62</v>
      </c>
      <c r="J410">
        <v>14</v>
      </c>
      <c r="K410" s="1">
        <v>45752</v>
      </c>
      <c r="L410" s="1">
        <v>45763</v>
      </c>
      <c r="M410" t="s">
        <v>77</v>
      </c>
      <c r="N410" t="s">
        <v>26</v>
      </c>
      <c r="O410">
        <v>54917.37</v>
      </c>
      <c r="P410">
        <v>37343.81</v>
      </c>
      <c r="Q410">
        <v>17573.560000000001</v>
      </c>
      <c r="R410" t="s">
        <v>32</v>
      </c>
      <c r="S410">
        <f t="shared" si="18"/>
        <v>11</v>
      </c>
      <c r="T410" s="2">
        <f t="shared" si="19"/>
        <v>0.67999997086531994</v>
      </c>
      <c r="U410" s="2">
        <f t="shared" si="20"/>
        <v>0.32000002913468001</v>
      </c>
    </row>
    <row r="411" spans="1:21" x14ac:dyDescent="0.3">
      <c r="A411">
        <v>10410</v>
      </c>
      <c r="B411" t="s">
        <v>73</v>
      </c>
      <c r="C411" t="s">
        <v>74</v>
      </c>
      <c r="D411" t="s">
        <v>20</v>
      </c>
      <c r="E411">
        <v>53</v>
      </c>
      <c r="F411" t="s">
        <v>75</v>
      </c>
      <c r="G411" t="s">
        <v>41</v>
      </c>
      <c r="H411" t="s">
        <v>42</v>
      </c>
      <c r="I411" t="s">
        <v>43</v>
      </c>
      <c r="J411">
        <v>9</v>
      </c>
      <c r="K411" s="1">
        <v>45945</v>
      </c>
      <c r="L411" s="1">
        <v>45947</v>
      </c>
      <c r="M411" t="s">
        <v>44</v>
      </c>
      <c r="N411" t="s">
        <v>26</v>
      </c>
      <c r="O411">
        <v>24403.98</v>
      </c>
      <c r="P411">
        <v>16838.75</v>
      </c>
      <c r="Q411">
        <v>7565.23</v>
      </c>
      <c r="R411" t="s">
        <v>27</v>
      </c>
      <c r="S411">
        <f t="shared" si="18"/>
        <v>2</v>
      </c>
      <c r="T411" s="2">
        <f t="shared" si="19"/>
        <v>0.690000155712306</v>
      </c>
      <c r="U411" s="2">
        <f t="shared" si="20"/>
        <v>0.30999984428769406</v>
      </c>
    </row>
    <row r="412" spans="1:21" x14ac:dyDescent="0.3">
      <c r="A412">
        <v>10411</v>
      </c>
      <c r="B412" t="s">
        <v>73</v>
      </c>
      <c r="C412" t="s">
        <v>74</v>
      </c>
      <c r="D412" t="s">
        <v>20</v>
      </c>
      <c r="E412">
        <v>53</v>
      </c>
      <c r="F412" t="s">
        <v>75</v>
      </c>
      <c r="G412" t="s">
        <v>60</v>
      </c>
      <c r="H412" t="s">
        <v>61</v>
      </c>
      <c r="I412" t="s">
        <v>62</v>
      </c>
      <c r="J412">
        <v>18</v>
      </c>
      <c r="K412" s="1">
        <v>45972</v>
      </c>
      <c r="L412" s="1">
        <v>45982</v>
      </c>
      <c r="M412" t="s">
        <v>63</v>
      </c>
      <c r="N412" t="s">
        <v>26</v>
      </c>
      <c r="O412">
        <v>36296.68</v>
      </c>
      <c r="P412">
        <v>27948.44</v>
      </c>
      <c r="Q412">
        <v>8348.24</v>
      </c>
      <c r="R412" t="s">
        <v>32</v>
      </c>
      <c r="S412">
        <f t="shared" si="18"/>
        <v>10</v>
      </c>
      <c r="T412" s="2">
        <f t="shared" si="19"/>
        <v>0.76999990081737502</v>
      </c>
      <c r="U412" s="2">
        <f t="shared" si="20"/>
        <v>0.23000009918262496</v>
      </c>
    </row>
    <row r="413" spans="1:21" x14ac:dyDescent="0.3">
      <c r="A413">
        <v>10412</v>
      </c>
      <c r="B413" t="s">
        <v>135</v>
      </c>
      <c r="C413" t="s">
        <v>136</v>
      </c>
      <c r="D413" t="s">
        <v>30</v>
      </c>
      <c r="E413">
        <v>52</v>
      </c>
      <c r="F413" t="s">
        <v>35</v>
      </c>
      <c r="G413" t="s">
        <v>41</v>
      </c>
      <c r="H413" t="s">
        <v>42</v>
      </c>
      <c r="I413" t="s">
        <v>43</v>
      </c>
      <c r="J413">
        <v>9</v>
      </c>
      <c r="K413" s="1">
        <v>45702</v>
      </c>
      <c r="L413" s="1">
        <v>45709</v>
      </c>
      <c r="M413" t="s">
        <v>112</v>
      </c>
      <c r="N413" t="s">
        <v>51</v>
      </c>
      <c r="O413">
        <v>44261.87</v>
      </c>
      <c r="P413">
        <v>30983.31</v>
      </c>
      <c r="Q413">
        <v>13278.56</v>
      </c>
      <c r="R413" t="s">
        <v>32</v>
      </c>
      <c r="S413">
        <f t="shared" si="18"/>
        <v>7</v>
      </c>
      <c r="T413" s="2">
        <f t="shared" si="19"/>
        <v>0.70000002259280958</v>
      </c>
      <c r="U413" s="2">
        <f t="shared" si="20"/>
        <v>0.29999997740719042</v>
      </c>
    </row>
    <row r="414" spans="1:21" x14ac:dyDescent="0.3">
      <c r="A414">
        <v>10413</v>
      </c>
      <c r="B414" t="s">
        <v>154</v>
      </c>
      <c r="C414" t="s">
        <v>155</v>
      </c>
      <c r="D414" t="s">
        <v>30</v>
      </c>
      <c r="E414">
        <v>67</v>
      </c>
      <c r="F414" t="s">
        <v>119</v>
      </c>
      <c r="G414" t="s">
        <v>88</v>
      </c>
      <c r="H414" t="s">
        <v>89</v>
      </c>
      <c r="I414" t="s">
        <v>62</v>
      </c>
      <c r="J414">
        <v>14</v>
      </c>
      <c r="K414" s="1">
        <v>45772</v>
      </c>
      <c r="L414" s="1">
        <v>45779</v>
      </c>
      <c r="M414" t="s">
        <v>63</v>
      </c>
      <c r="N414" t="s">
        <v>26</v>
      </c>
      <c r="O414">
        <v>15767.58</v>
      </c>
      <c r="P414">
        <v>11983.36</v>
      </c>
      <c r="Q414">
        <v>3784.22</v>
      </c>
      <c r="R414" t="s">
        <v>32</v>
      </c>
      <c r="S414">
        <f t="shared" si="18"/>
        <v>7</v>
      </c>
      <c r="T414" s="2">
        <f t="shared" si="19"/>
        <v>0.75999994926298142</v>
      </c>
      <c r="U414" s="2">
        <f t="shared" si="20"/>
        <v>0.24000005073701861</v>
      </c>
    </row>
    <row r="415" spans="1:21" x14ac:dyDescent="0.3">
      <c r="A415">
        <v>10414</v>
      </c>
      <c r="B415" t="s">
        <v>97</v>
      </c>
      <c r="C415" t="s">
        <v>98</v>
      </c>
      <c r="D415" t="s">
        <v>20</v>
      </c>
      <c r="E415">
        <v>43</v>
      </c>
      <c r="F415" t="s">
        <v>69</v>
      </c>
      <c r="G415" t="s">
        <v>47</v>
      </c>
      <c r="H415" t="s">
        <v>48</v>
      </c>
      <c r="I415" t="s">
        <v>49</v>
      </c>
      <c r="J415">
        <v>8</v>
      </c>
      <c r="K415" s="1">
        <v>45978</v>
      </c>
      <c r="L415" s="1">
        <v>45987</v>
      </c>
      <c r="M415" t="s">
        <v>85</v>
      </c>
      <c r="N415" t="s">
        <v>26</v>
      </c>
      <c r="O415">
        <v>94683.93</v>
      </c>
      <c r="P415">
        <v>70066.11</v>
      </c>
      <c r="Q415">
        <v>24617.82</v>
      </c>
      <c r="R415" t="s">
        <v>32</v>
      </c>
      <c r="S415">
        <f t="shared" si="18"/>
        <v>9</v>
      </c>
      <c r="T415" s="2">
        <f t="shared" si="19"/>
        <v>0.74000001901061785</v>
      </c>
      <c r="U415" s="2">
        <f t="shared" si="20"/>
        <v>0.25999998098938226</v>
      </c>
    </row>
    <row r="416" spans="1:21" x14ac:dyDescent="0.3">
      <c r="A416">
        <v>10415</v>
      </c>
      <c r="B416" t="s">
        <v>97</v>
      </c>
      <c r="C416" t="s">
        <v>98</v>
      </c>
      <c r="D416" t="s">
        <v>20</v>
      </c>
      <c r="E416">
        <v>43</v>
      </c>
      <c r="F416" t="s">
        <v>69</v>
      </c>
      <c r="G416" t="s">
        <v>41</v>
      </c>
      <c r="H416" t="s">
        <v>42</v>
      </c>
      <c r="I416" t="s">
        <v>43</v>
      </c>
      <c r="J416">
        <v>9</v>
      </c>
      <c r="K416" s="1">
        <v>45924</v>
      </c>
      <c r="L416" s="1">
        <v>45933</v>
      </c>
      <c r="M416" t="s">
        <v>72</v>
      </c>
      <c r="N416" t="s">
        <v>26</v>
      </c>
      <c r="O416">
        <v>15330.44</v>
      </c>
      <c r="P416">
        <v>9351.57</v>
      </c>
      <c r="Q416">
        <v>5978.87</v>
      </c>
      <c r="R416" t="s">
        <v>32</v>
      </c>
      <c r="S416">
        <f t="shared" si="18"/>
        <v>9</v>
      </c>
      <c r="T416" s="2">
        <f t="shared" si="19"/>
        <v>0.61000010436751972</v>
      </c>
      <c r="U416" s="2">
        <f t="shared" si="20"/>
        <v>0.38999989563248022</v>
      </c>
    </row>
    <row r="417" spans="1:21" x14ac:dyDescent="0.3">
      <c r="A417">
        <v>10416</v>
      </c>
      <c r="B417" t="s">
        <v>156</v>
      </c>
      <c r="C417" t="s">
        <v>157</v>
      </c>
      <c r="D417" t="s">
        <v>30</v>
      </c>
      <c r="E417">
        <v>47</v>
      </c>
      <c r="F417" t="s">
        <v>40</v>
      </c>
      <c r="G417" t="s">
        <v>36</v>
      </c>
      <c r="H417" t="s">
        <v>37</v>
      </c>
      <c r="I417" t="s">
        <v>24</v>
      </c>
      <c r="J417">
        <v>12</v>
      </c>
      <c r="K417" s="1">
        <v>45837</v>
      </c>
      <c r="L417" s="1">
        <v>45846</v>
      </c>
      <c r="M417" t="s">
        <v>66</v>
      </c>
      <c r="N417" t="s">
        <v>26</v>
      </c>
      <c r="O417">
        <v>63838.86</v>
      </c>
      <c r="P417">
        <v>48517.53</v>
      </c>
      <c r="Q417">
        <v>15321.33</v>
      </c>
      <c r="R417" t="s">
        <v>32</v>
      </c>
      <c r="S417">
        <f t="shared" si="18"/>
        <v>9</v>
      </c>
      <c r="T417" s="2">
        <f t="shared" si="19"/>
        <v>0.75999994360801548</v>
      </c>
      <c r="U417" s="2">
        <f t="shared" si="20"/>
        <v>0.24000005639198443</v>
      </c>
    </row>
    <row r="418" spans="1:21" x14ac:dyDescent="0.3">
      <c r="A418">
        <v>10417</v>
      </c>
      <c r="B418" t="s">
        <v>139</v>
      </c>
      <c r="C418" t="s">
        <v>140</v>
      </c>
      <c r="D418" t="s">
        <v>20</v>
      </c>
      <c r="E418">
        <v>21</v>
      </c>
      <c r="F418" t="s">
        <v>119</v>
      </c>
      <c r="G418" t="s">
        <v>36</v>
      </c>
      <c r="H418" t="s">
        <v>37</v>
      </c>
      <c r="I418" t="s">
        <v>24</v>
      </c>
      <c r="J418">
        <v>12</v>
      </c>
      <c r="K418" s="1">
        <v>45766</v>
      </c>
      <c r="L418" s="1">
        <v>45777</v>
      </c>
      <c r="M418" t="s">
        <v>66</v>
      </c>
      <c r="N418" t="s">
        <v>26</v>
      </c>
      <c r="O418">
        <v>59768.75</v>
      </c>
      <c r="P418">
        <v>37056.620000000003</v>
      </c>
      <c r="Q418">
        <v>22712.13</v>
      </c>
      <c r="R418" t="s">
        <v>27</v>
      </c>
      <c r="S418">
        <f t="shared" si="18"/>
        <v>11</v>
      </c>
      <c r="T418" s="2">
        <f t="shared" si="19"/>
        <v>0.61999991634424345</v>
      </c>
      <c r="U418" s="2">
        <f t="shared" si="20"/>
        <v>0.3800000836557566</v>
      </c>
    </row>
    <row r="419" spans="1:21" x14ac:dyDescent="0.3">
      <c r="A419">
        <v>10418</v>
      </c>
      <c r="B419" t="s">
        <v>123</v>
      </c>
      <c r="C419" t="s">
        <v>124</v>
      </c>
      <c r="D419" t="s">
        <v>30</v>
      </c>
      <c r="E419">
        <v>65</v>
      </c>
      <c r="F419" t="s">
        <v>35</v>
      </c>
      <c r="G419" t="s">
        <v>36</v>
      </c>
      <c r="H419" t="s">
        <v>37</v>
      </c>
      <c r="I419" t="s">
        <v>24</v>
      </c>
      <c r="J419">
        <v>12</v>
      </c>
      <c r="K419" s="1">
        <v>45830</v>
      </c>
      <c r="L419" s="1">
        <v>45839</v>
      </c>
      <c r="M419" t="s">
        <v>76</v>
      </c>
      <c r="N419" t="s">
        <v>51</v>
      </c>
      <c r="O419">
        <v>280249.09999999998</v>
      </c>
      <c r="P419">
        <v>196174.37</v>
      </c>
      <c r="Q419">
        <v>84074.73</v>
      </c>
      <c r="R419" t="s">
        <v>32</v>
      </c>
      <c r="S419">
        <f t="shared" si="18"/>
        <v>9</v>
      </c>
      <c r="T419" s="2">
        <f t="shared" si="19"/>
        <v>0.70000000000000007</v>
      </c>
      <c r="U419" s="2">
        <f t="shared" si="20"/>
        <v>0.3</v>
      </c>
    </row>
    <row r="420" spans="1:21" x14ac:dyDescent="0.3">
      <c r="A420">
        <v>10419</v>
      </c>
      <c r="B420" t="s">
        <v>120</v>
      </c>
      <c r="C420" t="s">
        <v>74</v>
      </c>
      <c r="D420" t="s">
        <v>20</v>
      </c>
      <c r="E420">
        <v>61</v>
      </c>
      <c r="F420" t="s">
        <v>69</v>
      </c>
      <c r="G420" t="s">
        <v>60</v>
      </c>
      <c r="H420" t="s">
        <v>61</v>
      </c>
      <c r="I420" t="s">
        <v>62</v>
      </c>
      <c r="J420">
        <v>18</v>
      </c>
      <c r="K420" s="1">
        <v>45901</v>
      </c>
      <c r="L420" s="1">
        <v>45910</v>
      </c>
      <c r="M420" t="s">
        <v>63</v>
      </c>
      <c r="N420" t="s">
        <v>51</v>
      </c>
      <c r="O420">
        <v>40489.21</v>
      </c>
      <c r="P420">
        <v>29557.119999999999</v>
      </c>
      <c r="Q420">
        <v>10932.09</v>
      </c>
      <c r="R420" t="s">
        <v>32</v>
      </c>
      <c r="S420">
        <f t="shared" si="18"/>
        <v>9</v>
      </c>
      <c r="T420" s="2">
        <f t="shared" si="19"/>
        <v>0.72999991849680446</v>
      </c>
      <c r="U420" s="2">
        <f t="shared" si="20"/>
        <v>0.27000008150319554</v>
      </c>
    </row>
    <row r="421" spans="1:21" x14ac:dyDescent="0.3">
      <c r="A421">
        <v>10420</v>
      </c>
      <c r="B421" t="s">
        <v>90</v>
      </c>
      <c r="C421" t="s">
        <v>91</v>
      </c>
      <c r="D421" t="s">
        <v>20</v>
      </c>
      <c r="E421">
        <v>48</v>
      </c>
      <c r="F421" t="s">
        <v>84</v>
      </c>
      <c r="G421" t="s">
        <v>47</v>
      </c>
      <c r="H421" t="s">
        <v>48</v>
      </c>
      <c r="I421" t="s">
        <v>49</v>
      </c>
      <c r="J421">
        <v>8</v>
      </c>
      <c r="K421" s="1">
        <v>45813</v>
      </c>
      <c r="L421" s="1">
        <v>45823</v>
      </c>
      <c r="M421" t="s">
        <v>50</v>
      </c>
      <c r="N421" t="s">
        <v>26</v>
      </c>
      <c r="O421">
        <v>226591.16</v>
      </c>
      <c r="P421">
        <v>145018.34</v>
      </c>
      <c r="Q421">
        <v>81572.820000000007</v>
      </c>
      <c r="R421" t="s">
        <v>27</v>
      </c>
      <c r="S421">
        <f t="shared" si="18"/>
        <v>10</v>
      </c>
      <c r="T421" s="2">
        <f t="shared" si="19"/>
        <v>0.63999998940823632</v>
      </c>
      <c r="U421" s="2">
        <f t="shared" si="20"/>
        <v>0.36000001059176362</v>
      </c>
    </row>
    <row r="422" spans="1:21" x14ac:dyDescent="0.3">
      <c r="A422">
        <v>10421</v>
      </c>
      <c r="B422" t="s">
        <v>57</v>
      </c>
      <c r="C422" t="s">
        <v>58</v>
      </c>
      <c r="D422" t="s">
        <v>20</v>
      </c>
      <c r="E422">
        <v>45</v>
      </c>
      <c r="F422" t="s">
        <v>59</v>
      </c>
      <c r="G422" t="s">
        <v>22</v>
      </c>
      <c r="H422" t="s">
        <v>23</v>
      </c>
      <c r="I422" t="s">
        <v>24</v>
      </c>
      <c r="J422">
        <v>15</v>
      </c>
      <c r="K422" s="1">
        <v>45907</v>
      </c>
      <c r="L422" s="1">
        <v>45917</v>
      </c>
      <c r="M422" t="s">
        <v>25</v>
      </c>
      <c r="N422" t="s">
        <v>51</v>
      </c>
      <c r="O422">
        <v>152008.84</v>
      </c>
      <c r="P422">
        <v>103366.01</v>
      </c>
      <c r="Q422">
        <v>48642.83</v>
      </c>
      <c r="R422" t="s">
        <v>32</v>
      </c>
      <c r="S422">
        <f t="shared" si="18"/>
        <v>10</v>
      </c>
      <c r="T422" s="2">
        <f t="shared" si="19"/>
        <v>0.67999999210572226</v>
      </c>
      <c r="U422" s="2">
        <f t="shared" si="20"/>
        <v>0.32000000789427774</v>
      </c>
    </row>
    <row r="423" spans="1:21" x14ac:dyDescent="0.3">
      <c r="A423">
        <v>10422</v>
      </c>
      <c r="B423" t="s">
        <v>123</v>
      </c>
      <c r="C423" t="s">
        <v>124</v>
      </c>
      <c r="D423" t="s">
        <v>30</v>
      </c>
      <c r="E423">
        <v>65</v>
      </c>
      <c r="F423" t="s">
        <v>35</v>
      </c>
      <c r="G423" t="s">
        <v>88</v>
      </c>
      <c r="H423" t="s">
        <v>89</v>
      </c>
      <c r="I423" t="s">
        <v>62</v>
      </c>
      <c r="J423">
        <v>14</v>
      </c>
      <c r="K423" s="1">
        <v>45677</v>
      </c>
      <c r="L423" s="1">
        <v>45684</v>
      </c>
      <c r="M423" t="s">
        <v>96</v>
      </c>
      <c r="N423" t="s">
        <v>26</v>
      </c>
      <c r="O423">
        <v>168962.05</v>
      </c>
      <c r="P423">
        <v>136859.26</v>
      </c>
      <c r="Q423">
        <v>32102.79</v>
      </c>
      <c r="R423" t="s">
        <v>32</v>
      </c>
      <c r="S423">
        <f t="shared" si="18"/>
        <v>7</v>
      </c>
      <c r="T423" s="2">
        <f t="shared" si="19"/>
        <v>0.80999999704075576</v>
      </c>
      <c r="U423" s="2">
        <f t="shared" si="20"/>
        <v>0.19000000295924441</v>
      </c>
    </row>
    <row r="424" spans="1:21" x14ac:dyDescent="0.3">
      <c r="A424">
        <v>10423</v>
      </c>
      <c r="B424" t="s">
        <v>73</v>
      </c>
      <c r="C424" t="s">
        <v>74</v>
      </c>
      <c r="D424" t="s">
        <v>20</v>
      </c>
      <c r="E424">
        <v>53</v>
      </c>
      <c r="F424" t="s">
        <v>75</v>
      </c>
      <c r="G424" t="s">
        <v>70</v>
      </c>
      <c r="H424" t="s">
        <v>71</v>
      </c>
      <c r="I424" t="s">
        <v>43</v>
      </c>
      <c r="J424">
        <v>11</v>
      </c>
      <c r="K424" s="1">
        <v>45847</v>
      </c>
      <c r="L424" s="1">
        <v>45858</v>
      </c>
      <c r="M424" t="s">
        <v>112</v>
      </c>
      <c r="N424" t="s">
        <v>26</v>
      </c>
      <c r="O424">
        <v>34578.67</v>
      </c>
      <c r="P424">
        <v>29046.080000000002</v>
      </c>
      <c r="Q424">
        <v>5532.59</v>
      </c>
      <c r="R424" t="s">
        <v>32</v>
      </c>
      <c r="S424">
        <f t="shared" si="18"/>
        <v>11</v>
      </c>
      <c r="T424" s="2">
        <f t="shared" si="19"/>
        <v>0.83999991902522575</v>
      </c>
      <c r="U424" s="2">
        <f t="shared" si="20"/>
        <v>0.16000008097477433</v>
      </c>
    </row>
    <row r="425" spans="1:21" x14ac:dyDescent="0.3">
      <c r="A425">
        <v>10424</v>
      </c>
      <c r="B425" t="s">
        <v>108</v>
      </c>
      <c r="C425" t="s">
        <v>109</v>
      </c>
      <c r="D425" t="s">
        <v>20</v>
      </c>
      <c r="E425">
        <v>34</v>
      </c>
      <c r="F425" t="s">
        <v>40</v>
      </c>
      <c r="G425" t="s">
        <v>88</v>
      </c>
      <c r="H425" t="s">
        <v>89</v>
      </c>
      <c r="I425" t="s">
        <v>62</v>
      </c>
      <c r="J425">
        <v>14</v>
      </c>
      <c r="K425" s="1">
        <v>45991</v>
      </c>
      <c r="L425" s="1">
        <v>46002</v>
      </c>
      <c r="M425" t="s">
        <v>63</v>
      </c>
      <c r="N425" t="s">
        <v>26</v>
      </c>
      <c r="O425">
        <v>27371.97</v>
      </c>
      <c r="P425">
        <v>17791.78</v>
      </c>
      <c r="Q425">
        <v>9580.19</v>
      </c>
      <c r="R425" t="s">
        <v>32</v>
      </c>
      <c r="S425">
        <f t="shared" si="18"/>
        <v>11</v>
      </c>
      <c r="T425" s="2">
        <f t="shared" si="19"/>
        <v>0.64999998173313789</v>
      </c>
      <c r="U425" s="2">
        <f t="shared" si="20"/>
        <v>0.35000001826686206</v>
      </c>
    </row>
    <row r="426" spans="1:21" x14ac:dyDescent="0.3">
      <c r="A426">
        <v>10425</v>
      </c>
      <c r="B426" t="s">
        <v>162</v>
      </c>
      <c r="C426" t="s">
        <v>91</v>
      </c>
      <c r="D426" t="s">
        <v>30</v>
      </c>
      <c r="E426">
        <v>39</v>
      </c>
      <c r="F426" t="s">
        <v>119</v>
      </c>
      <c r="G426" t="s">
        <v>36</v>
      </c>
      <c r="H426" t="s">
        <v>37</v>
      </c>
      <c r="I426" t="s">
        <v>24</v>
      </c>
      <c r="J426">
        <v>12</v>
      </c>
      <c r="K426" s="1">
        <v>45699</v>
      </c>
      <c r="L426" s="1">
        <v>45713</v>
      </c>
      <c r="M426" t="s">
        <v>25</v>
      </c>
      <c r="N426" t="s">
        <v>26</v>
      </c>
      <c r="O426">
        <v>231087.35</v>
      </c>
      <c r="P426">
        <v>173315.51</v>
      </c>
      <c r="Q426">
        <v>57771.839999999997</v>
      </c>
      <c r="R426" t="s">
        <v>32</v>
      </c>
      <c r="S426">
        <f t="shared" si="18"/>
        <v>14</v>
      </c>
      <c r="T426" s="2">
        <f t="shared" si="19"/>
        <v>0.74999998918158006</v>
      </c>
      <c r="U426" s="2">
        <f t="shared" si="20"/>
        <v>0.25000001081841994</v>
      </c>
    </row>
    <row r="427" spans="1:21" x14ac:dyDescent="0.3">
      <c r="A427">
        <v>10426</v>
      </c>
      <c r="B427" t="s">
        <v>141</v>
      </c>
      <c r="C427" t="s">
        <v>142</v>
      </c>
      <c r="D427" t="s">
        <v>30</v>
      </c>
      <c r="E427">
        <v>47</v>
      </c>
      <c r="F427" t="s">
        <v>54</v>
      </c>
      <c r="G427" t="s">
        <v>70</v>
      </c>
      <c r="H427" t="s">
        <v>71</v>
      </c>
      <c r="I427" t="s">
        <v>43</v>
      </c>
      <c r="J427">
        <v>11</v>
      </c>
      <c r="K427" s="1">
        <v>45877</v>
      </c>
      <c r="L427" s="1">
        <v>45887</v>
      </c>
      <c r="M427" t="s">
        <v>72</v>
      </c>
      <c r="N427" t="s">
        <v>51</v>
      </c>
      <c r="O427">
        <v>18093.91</v>
      </c>
      <c r="P427">
        <v>11941.98</v>
      </c>
      <c r="Q427">
        <v>6151.93</v>
      </c>
      <c r="R427" t="s">
        <v>32</v>
      </c>
      <c r="S427">
        <f t="shared" si="18"/>
        <v>10</v>
      </c>
      <c r="T427" s="2">
        <f t="shared" si="19"/>
        <v>0.65999996683967144</v>
      </c>
      <c r="U427" s="2">
        <f t="shared" si="20"/>
        <v>0.34000003316032856</v>
      </c>
    </row>
    <row r="428" spans="1:21" x14ac:dyDescent="0.3">
      <c r="A428">
        <v>10427</v>
      </c>
      <c r="B428" t="s">
        <v>113</v>
      </c>
      <c r="C428" t="s">
        <v>114</v>
      </c>
      <c r="D428" t="s">
        <v>30</v>
      </c>
      <c r="E428">
        <v>33</v>
      </c>
      <c r="F428" t="s">
        <v>59</v>
      </c>
      <c r="G428" t="s">
        <v>47</v>
      </c>
      <c r="H428" t="s">
        <v>48</v>
      </c>
      <c r="I428" t="s">
        <v>49</v>
      </c>
      <c r="J428">
        <v>8</v>
      </c>
      <c r="K428" s="1">
        <v>45663</v>
      </c>
      <c r="L428" s="1">
        <v>45673</v>
      </c>
      <c r="M428" t="s">
        <v>85</v>
      </c>
      <c r="N428" t="s">
        <v>26</v>
      </c>
      <c r="O428">
        <v>57933.25</v>
      </c>
      <c r="P428">
        <v>46925.93</v>
      </c>
      <c r="Q428">
        <v>11007.32</v>
      </c>
      <c r="R428" t="s">
        <v>32</v>
      </c>
      <c r="S428">
        <f t="shared" si="18"/>
        <v>10</v>
      </c>
      <c r="T428" s="2">
        <f t="shared" si="19"/>
        <v>0.80999995684688841</v>
      </c>
      <c r="U428" s="2">
        <f t="shared" si="20"/>
        <v>0.19000004315311156</v>
      </c>
    </row>
    <row r="429" spans="1:21" x14ac:dyDescent="0.3">
      <c r="A429">
        <v>10428</v>
      </c>
      <c r="B429" t="s">
        <v>135</v>
      </c>
      <c r="C429" t="s">
        <v>136</v>
      </c>
      <c r="D429" t="s">
        <v>30</v>
      </c>
      <c r="E429">
        <v>52</v>
      </c>
      <c r="F429" t="s">
        <v>35</v>
      </c>
      <c r="G429" t="s">
        <v>88</v>
      </c>
      <c r="H429" t="s">
        <v>89</v>
      </c>
      <c r="I429" t="s">
        <v>62</v>
      </c>
      <c r="J429">
        <v>14</v>
      </c>
      <c r="K429" s="1">
        <v>45766</v>
      </c>
      <c r="L429" s="1">
        <v>45775</v>
      </c>
      <c r="M429" t="s">
        <v>96</v>
      </c>
      <c r="N429" t="s">
        <v>51</v>
      </c>
      <c r="O429">
        <v>128507.84</v>
      </c>
      <c r="P429">
        <v>98951.039999999994</v>
      </c>
      <c r="Q429">
        <v>29556.799999999999</v>
      </c>
      <c r="R429" t="s">
        <v>32</v>
      </c>
      <c r="S429">
        <f t="shared" si="18"/>
        <v>9</v>
      </c>
      <c r="T429" s="2">
        <f t="shared" si="19"/>
        <v>0.77000002490120445</v>
      </c>
      <c r="U429" s="2">
        <f t="shared" si="20"/>
        <v>0.22999997509879552</v>
      </c>
    </row>
    <row r="430" spans="1:21" x14ac:dyDescent="0.3">
      <c r="A430">
        <v>10429</v>
      </c>
      <c r="B430" t="s">
        <v>67</v>
      </c>
      <c r="C430" t="s">
        <v>68</v>
      </c>
      <c r="D430" t="s">
        <v>20</v>
      </c>
      <c r="E430">
        <v>33</v>
      </c>
      <c r="F430" t="s">
        <v>69</v>
      </c>
      <c r="G430" t="s">
        <v>36</v>
      </c>
      <c r="H430" t="s">
        <v>37</v>
      </c>
      <c r="I430" t="s">
        <v>24</v>
      </c>
      <c r="J430">
        <v>12</v>
      </c>
      <c r="K430" s="1">
        <v>45809</v>
      </c>
      <c r="L430" s="1">
        <v>45815</v>
      </c>
      <c r="M430" t="s">
        <v>66</v>
      </c>
      <c r="N430" t="s">
        <v>26</v>
      </c>
      <c r="O430">
        <v>65691.19</v>
      </c>
      <c r="P430">
        <v>51896.04</v>
      </c>
      <c r="Q430">
        <v>13795.15</v>
      </c>
      <c r="R430" t="s">
        <v>27</v>
      </c>
      <c r="S430">
        <f t="shared" si="18"/>
        <v>6</v>
      </c>
      <c r="T430" s="2">
        <f t="shared" si="19"/>
        <v>0.78999999847772584</v>
      </c>
      <c r="U430" s="2">
        <f t="shared" si="20"/>
        <v>0.21000000152227413</v>
      </c>
    </row>
    <row r="431" spans="1:21" x14ac:dyDescent="0.3">
      <c r="A431">
        <v>10430</v>
      </c>
      <c r="B431" t="s">
        <v>106</v>
      </c>
      <c r="C431" t="s">
        <v>107</v>
      </c>
      <c r="D431" t="s">
        <v>30</v>
      </c>
      <c r="E431">
        <v>37</v>
      </c>
      <c r="F431" t="s">
        <v>31</v>
      </c>
      <c r="G431" t="s">
        <v>41</v>
      </c>
      <c r="H431" t="s">
        <v>42</v>
      </c>
      <c r="I431" t="s">
        <v>43</v>
      </c>
      <c r="J431">
        <v>9</v>
      </c>
      <c r="K431" s="1">
        <v>45993</v>
      </c>
      <c r="L431" s="1">
        <v>46002</v>
      </c>
      <c r="M431" t="s">
        <v>112</v>
      </c>
      <c r="N431" t="s">
        <v>26</v>
      </c>
      <c r="O431">
        <v>60537.16</v>
      </c>
      <c r="P431">
        <v>44192.13</v>
      </c>
      <c r="Q431">
        <v>16345.03</v>
      </c>
      <c r="R431" t="s">
        <v>32</v>
      </c>
      <c r="S431">
        <f t="shared" si="18"/>
        <v>9</v>
      </c>
      <c r="T431" s="2">
        <f t="shared" si="19"/>
        <v>0.73000005286009439</v>
      </c>
      <c r="U431" s="2">
        <f t="shared" si="20"/>
        <v>0.26999994713990549</v>
      </c>
    </row>
    <row r="432" spans="1:21" x14ac:dyDescent="0.3">
      <c r="A432">
        <v>10431</v>
      </c>
      <c r="B432" t="s">
        <v>106</v>
      </c>
      <c r="C432" t="s">
        <v>107</v>
      </c>
      <c r="D432" t="s">
        <v>30</v>
      </c>
      <c r="E432">
        <v>37</v>
      </c>
      <c r="F432" t="s">
        <v>31</v>
      </c>
      <c r="G432" t="s">
        <v>47</v>
      </c>
      <c r="H432" t="s">
        <v>48</v>
      </c>
      <c r="I432" t="s">
        <v>49</v>
      </c>
      <c r="J432">
        <v>8</v>
      </c>
      <c r="K432" s="1">
        <v>45839</v>
      </c>
      <c r="L432" s="1">
        <v>45849</v>
      </c>
      <c r="M432" t="s">
        <v>85</v>
      </c>
      <c r="N432" t="s">
        <v>26</v>
      </c>
      <c r="O432">
        <v>105257.28</v>
      </c>
      <c r="P432">
        <v>86310.97</v>
      </c>
      <c r="Q432">
        <v>18946.310000000001</v>
      </c>
      <c r="R432" t="s">
        <v>32</v>
      </c>
      <c r="S432">
        <f t="shared" si="18"/>
        <v>10</v>
      </c>
      <c r="T432" s="2">
        <f t="shared" si="19"/>
        <v>0.82000000380021221</v>
      </c>
      <c r="U432" s="2">
        <f t="shared" si="20"/>
        <v>0.17999999619978782</v>
      </c>
    </row>
    <row r="433" spans="1:21" x14ac:dyDescent="0.3">
      <c r="A433">
        <v>10432</v>
      </c>
      <c r="B433" t="s">
        <v>82</v>
      </c>
      <c r="C433" t="s">
        <v>83</v>
      </c>
      <c r="D433" t="s">
        <v>20</v>
      </c>
      <c r="E433">
        <v>74</v>
      </c>
      <c r="F433" t="s">
        <v>84</v>
      </c>
      <c r="G433" t="s">
        <v>55</v>
      </c>
      <c r="H433" t="s">
        <v>56</v>
      </c>
      <c r="I433" t="s">
        <v>49</v>
      </c>
      <c r="J433">
        <v>10</v>
      </c>
      <c r="K433" s="1">
        <v>45743</v>
      </c>
      <c r="L433" s="1">
        <v>45752</v>
      </c>
      <c r="M433" t="s">
        <v>85</v>
      </c>
      <c r="N433" t="s">
        <v>26</v>
      </c>
      <c r="O433">
        <v>103909.4</v>
      </c>
      <c r="P433">
        <v>71697.490000000005</v>
      </c>
      <c r="Q433">
        <v>32211.91</v>
      </c>
      <c r="R433" t="s">
        <v>32</v>
      </c>
      <c r="S433">
        <f t="shared" si="18"/>
        <v>9</v>
      </c>
      <c r="T433" s="2">
        <f t="shared" si="19"/>
        <v>0.69000003849507363</v>
      </c>
      <c r="U433" s="2">
        <f t="shared" si="20"/>
        <v>0.30999996150492642</v>
      </c>
    </row>
    <row r="434" spans="1:21" x14ac:dyDescent="0.3">
      <c r="A434">
        <v>10433</v>
      </c>
      <c r="B434" t="s">
        <v>78</v>
      </c>
      <c r="C434" t="s">
        <v>79</v>
      </c>
      <c r="D434" t="s">
        <v>20</v>
      </c>
      <c r="E434">
        <v>67</v>
      </c>
      <c r="F434" t="s">
        <v>35</v>
      </c>
      <c r="G434" t="s">
        <v>36</v>
      </c>
      <c r="H434" t="s">
        <v>37</v>
      </c>
      <c r="I434" t="s">
        <v>24</v>
      </c>
      <c r="J434">
        <v>12</v>
      </c>
      <c r="K434" s="1">
        <v>45935</v>
      </c>
      <c r="L434" s="1">
        <v>45938</v>
      </c>
      <c r="M434" t="s">
        <v>76</v>
      </c>
      <c r="N434" t="s">
        <v>26</v>
      </c>
      <c r="O434">
        <v>380483.18</v>
      </c>
      <c r="P434">
        <v>292972.05</v>
      </c>
      <c r="Q434">
        <v>87511.13</v>
      </c>
      <c r="R434" t="s">
        <v>32</v>
      </c>
      <c r="S434">
        <f t="shared" si="18"/>
        <v>3</v>
      </c>
      <c r="T434" s="2">
        <f t="shared" si="19"/>
        <v>0.77000000367953192</v>
      </c>
      <c r="U434" s="2">
        <f t="shared" si="20"/>
        <v>0.22999999632046811</v>
      </c>
    </row>
    <row r="435" spans="1:21" x14ac:dyDescent="0.3">
      <c r="A435">
        <v>10434</v>
      </c>
      <c r="B435" t="s">
        <v>104</v>
      </c>
      <c r="C435" t="s">
        <v>105</v>
      </c>
      <c r="D435" t="s">
        <v>30</v>
      </c>
      <c r="E435">
        <v>68</v>
      </c>
      <c r="F435" t="s">
        <v>21</v>
      </c>
      <c r="G435" t="s">
        <v>41</v>
      </c>
      <c r="H435" t="s">
        <v>42</v>
      </c>
      <c r="I435" t="s">
        <v>43</v>
      </c>
      <c r="J435">
        <v>9</v>
      </c>
      <c r="K435" s="1">
        <v>45794</v>
      </c>
      <c r="L435" s="1">
        <v>45807</v>
      </c>
      <c r="M435" t="s">
        <v>112</v>
      </c>
      <c r="N435" t="s">
        <v>26</v>
      </c>
      <c r="O435">
        <v>43796.86</v>
      </c>
      <c r="P435">
        <v>28467.96</v>
      </c>
      <c r="Q435">
        <v>15328.9</v>
      </c>
      <c r="R435" t="s">
        <v>27</v>
      </c>
      <c r="S435">
        <f t="shared" si="18"/>
        <v>13</v>
      </c>
      <c r="T435" s="2">
        <f t="shared" si="19"/>
        <v>0.6500000228326871</v>
      </c>
      <c r="U435" s="2">
        <f t="shared" si="20"/>
        <v>0.3499999771673129</v>
      </c>
    </row>
    <row r="436" spans="1:21" x14ac:dyDescent="0.3">
      <c r="A436">
        <v>10435</v>
      </c>
      <c r="B436" t="s">
        <v>154</v>
      </c>
      <c r="C436" t="s">
        <v>155</v>
      </c>
      <c r="D436" t="s">
        <v>30</v>
      </c>
      <c r="E436">
        <v>67</v>
      </c>
      <c r="F436" t="s">
        <v>119</v>
      </c>
      <c r="G436" t="s">
        <v>55</v>
      </c>
      <c r="H436" t="s">
        <v>56</v>
      </c>
      <c r="I436" t="s">
        <v>49</v>
      </c>
      <c r="J436">
        <v>10</v>
      </c>
      <c r="K436" s="1">
        <v>45681</v>
      </c>
      <c r="L436" s="1">
        <v>45693</v>
      </c>
      <c r="M436" t="s">
        <v>50</v>
      </c>
      <c r="N436" t="s">
        <v>26</v>
      </c>
      <c r="O436">
        <v>173604.65</v>
      </c>
      <c r="P436">
        <v>109370.93</v>
      </c>
      <c r="Q436">
        <v>64233.72</v>
      </c>
      <c r="R436" t="s">
        <v>32</v>
      </c>
      <c r="S436">
        <f t="shared" si="18"/>
        <v>12</v>
      </c>
      <c r="T436" s="2">
        <f t="shared" si="19"/>
        <v>0.63000000288010716</v>
      </c>
      <c r="U436" s="2">
        <f t="shared" si="20"/>
        <v>0.36999999711989284</v>
      </c>
    </row>
    <row r="437" spans="1:21" x14ac:dyDescent="0.3">
      <c r="A437">
        <v>10436</v>
      </c>
      <c r="B437" t="s">
        <v>146</v>
      </c>
      <c r="C437" t="s">
        <v>147</v>
      </c>
      <c r="D437" t="s">
        <v>30</v>
      </c>
      <c r="E437">
        <v>75</v>
      </c>
      <c r="F437" t="s">
        <v>84</v>
      </c>
      <c r="G437" t="s">
        <v>41</v>
      </c>
      <c r="H437" t="s">
        <v>42</v>
      </c>
      <c r="I437" t="s">
        <v>43</v>
      </c>
      <c r="J437">
        <v>9</v>
      </c>
      <c r="K437" s="1">
        <v>45994</v>
      </c>
      <c r="L437" s="1">
        <v>46008</v>
      </c>
      <c r="M437" t="s">
        <v>112</v>
      </c>
      <c r="N437" t="s">
        <v>26</v>
      </c>
      <c r="O437">
        <v>67187.850000000006</v>
      </c>
      <c r="P437">
        <v>54422.16</v>
      </c>
      <c r="Q437">
        <v>12765.69</v>
      </c>
      <c r="R437" t="s">
        <v>27</v>
      </c>
      <c r="S437">
        <f t="shared" si="18"/>
        <v>14</v>
      </c>
      <c r="T437" s="2">
        <f t="shared" si="19"/>
        <v>0.81000002232546509</v>
      </c>
      <c r="U437" s="2">
        <f t="shared" si="20"/>
        <v>0.18999997767453489</v>
      </c>
    </row>
    <row r="438" spans="1:21" x14ac:dyDescent="0.3">
      <c r="A438">
        <v>10437</v>
      </c>
      <c r="B438" t="s">
        <v>135</v>
      </c>
      <c r="C438" t="s">
        <v>136</v>
      </c>
      <c r="D438" t="s">
        <v>30</v>
      </c>
      <c r="E438">
        <v>52</v>
      </c>
      <c r="F438" t="s">
        <v>35</v>
      </c>
      <c r="G438" t="s">
        <v>88</v>
      </c>
      <c r="H438" t="s">
        <v>89</v>
      </c>
      <c r="I438" t="s">
        <v>62</v>
      </c>
      <c r="J438">
        <v>14</v>
      </c>
      <c r="K438" s="1">
        <v>45793</v>
      </c>
      <c r="L438" s="1">
        <v>45796</v>
      </c>
      <c r="M438" t="s">
        <v>63</v>
      </c>
      <c r="N438" t="s">
        <v>26</v>
      </c>
      <c r="O438">
        <v>23121.32</v>
      </c>
      <c r="P438">
        <v>19190.7</v>
      </c>
      <c r="Q438">
        <v>3930.62</v>
      </c>
      <c r="R438" t="s">
        <v>27</v>
      </c>
      <c r="S438">
        <f t="shared" si="18"/>
        <v>3</v>
      </c>
      <c r="T438" s="2">
        <f t="shared" si="19"/>
        <v>0.83000019030055383</v>
      </c>
      <c r="U438" s="2">
        <f t="shared" si="20"/>
        <v>0.16999980969944622</v>
      </c>
    </row>
    <row r="439" spans="1:21" x14ac:dyDescent="0.3">
      <c r="A439">
        <v>10438</v>
      </c>
      <c r="B439" t="s">
        <v>133</v>
      </c>
      <c r="C439" t="s">
        <v>134</v>
      </c>
      <c r="D439" t="s">
        <v>20</v>
      </c>
      <c r="E439">
        <v>56</v>
      </c>
      <c r="F439" t="s">
        <v>40</v>
      </c>
      <c r="G439" t="s">
        <v>70</v>
      </c>
      <c r="H439" t="s">
        <v>71</v>
      </c>
      <c r="I439" t="s">
        <v>43</v>
      </c>
      <c r="J439">
        <v>11</v>
      </c>
      <c r="K439" s="1">
        <v>45844</v>
      </c>
      <c r="L439" s="1">
        <v>45849</v>
      </c>
      <c r="M439" t="s">
        <v>44</v>
      </c>
      <c r="N439" t="s">
        <v>26</v>
      </c>
      <c r="O439">
        <v>20273.689999999999</v>
      </c>
      <c r="P439">
        <v>13177.9</v>
      </c>
      <c r="Q439">
        <v>7095.79</v>
      </c>
      <c r="R439" t="s">
        <v>27</v>
      </c>
      <c r="S439">
        <f t="shared" si="18"/>
        <v>5</v>
      </c>
      <c r="T439" s="2">
        <f t="shared" si="19"/>
        <v>0.6500000739875178</v>
      </c>
      <c r="U439" s="2">
        <f t="shared" si="20"/>
        <v>0.3499999260124822</v>
      </c>
    </row>
    <row r="440" spans="1:21" x14ac:dyDescent="0.3">
      <c r="A440">
        <v>10439</v>
      </c>
      <c r="B440" t="s">
        <v>146</v>
      </c>
      <c r="C440" t="s">
        <v>147</v>
      </c>
      <c r="D440" t="s">
        <v>30</v>
      </c>
      <c r="E440">
        <v>75</v>
      </c>
      <c r="F440" t="s">
        <v>84</v>
      </c>
      <c r="G440" t="s">
        <v>88</v>
      </c>
      <c r="H440" t="s">
        <v>89</v>
      </c>
      <c r="I440" t="s">
        <v>62</v>
      </c>
      <c r="J440">
        <v>14</v>
      </c>
      <c r="K440" s="1">
        <v>45782</v>
      </c>
      <c r="L440" s="1">
        <v>45791</v>
      </c>
      <c r="M440" t="s">
        <v>77</v>
      </c>
      <c r="N440" t="s">
        <v>26</v>
      </c>
      <c r="O440">
        <v>68306.64</v>
      </c>
      <c r="P440">
        <v>47131.58</v>
      </c>
      <c r="Q440">
        <v>21175.06</v>
      </c>
      <c r="R440" t="s">
        <v>27</v>
      </c>
      <c r="S440">
        <f t="shared" si="18"/>
        <v>9</v>
      </c>
      <c r="T440" s="2">
        <f t="shared" si="19"/>
        <v>0.6899999765762157</v>
      </c>
      <c r="U440" s="2">
        <f t="shared" si="20"/>
        <v>0.3100000234237843</v>
      </c>
    </row>
    <row r="441" spans="1:21" x14ac:dyDescent="0.3">
      <c r="A441">
        <v>10440</v>
      </c>
      <c r="B441" t="s">
        <v>117</v>
      </c>
      <c r="C441" t="s">
        <v>118</v>
      </c>
      <c r="D441" t="s">
        <v>20</v>
      </c>
      <c r="E441">
        <v>65</v>
      </c>
      <c r="F441" t="s">
        <v>119</v>
      </c>
      <c r="G441" t="s">
        <v>36</v>
      </c>
      <c r="H441" t="s">
        <v>37</v>
      </c>
      <c r="I441" t="s">
        <v>24</v>
      </c>
      <c r="J441">
        <v>12</v>
      </c>
      <c r="K441" s="1">
        <v>45965</v>
      </c>
      <c r="L441" s="1">
        <v>45977</v>
      </c>
      <c r="M441" t="s">
        <v>25</v>
      </c>
      <c r="N441" t="s">
        <v>26</v>
      </c>
      <c r="O441">
        <v>129785.19</v>
      </c>
      <c r="P441">
        <v>89551.78</v>
      </c>
      <c r="Q441">
        <v>40233.410000000003</v>
      </c>
      <c r="R441" t="s">
        <v>32</v>
      </c>
      <c r="S441">
        <f t="shared" si="18"/>
        <v>12</v>
      </c>
      <c r="T441" s="2">
        <f t="shared" si="19"/>
        <v>0.68999999152445668</v>
      </c>
      <c r="U441" s="2">
        <f t="shared" si="20"/>
        <v>0.31000000847554332</v>
      </c>
    </row>
    <row r="442" spans="1:21" x14ac:dyDescent="0.3">
      <c r="A442">
        <v>10441</v>
      </c>
      <c r="B442" t="s">
        <v>67</v>
      </c>
      <c r="C442" t="s">
        <v>68</v>
      </c>
      <c r="D442" t="s">
        <v>20</v>
      </c>
      <c r="E442">
        <v>33</v>
      </c>
      <c r="F442" t="s">
        <v>69</v>
      </c>
      <c r="G442" t="s">
        <v>88</v>
      </c>
      <c r="H442" t="s">
        <v>89</v>
      </c>
      <c r="I442" t="s">
        <v>62</v>
      </c>
      <c r="J442">
        <v>14</v>
      </c>
      <c r="K442" s="1">
        <v>45733</v>
      </c>
      <c r="L442" s="1">
        <v>45744</v>
      </c>
      <c r="M442" t="s">
        <v>77</v>
      </c>
      <c r="N442" t="s">
        <v>51</v>
      </c>
      <c r="O442">
        <v>45811.81</v>
      </c>
      <c r="P442">
        <v>34358.86</v>
      </c>
      <c r="Q442">
        <v>11452.95</v>
      </c>
      <c r="R442" t="s">
        <v>27</v>
      </c>
      <c r="S442">
        <f t="shared" si="18"/>
        <v>11</v>
      </c>
      <c r="T442" s="2">
        <f t="shared" si="19"/>
        <v>0.75000005457108121</v>
      </c>
      <c r="U442" s="2">
        <f t="shared" si="20"/>
        <v>0.2499999454289189</v>
      </c>
    </row>
    <row r="443" spans="1:21" x14ac:dyDescent="0.3">
      <c r="A443">
        <v>10442</v>
      </c>
      <c r="B443" t="s">
        <v>162</v>
      </c>
      <c r="C443" t="s">
        <v>91</v>
      </c>
      <c r="D443" t="s">
        <v>30</v>
      </c>
      <c r="E443">
        <v>39</v>
      </c>
      <c r="F443" t="s">
        <v>119</v>
      </c>
      <c r="G443" t="s">
        <v>22</v>
      </c>
      <c r="H443" t="s">
        <v>23</v>
      </c>
      <c r="I443" t="s">
        <v>24</v>
      </c>
      <c r="J443">
        <v>15</v>
      </c>
      <c r="K443" s="1">
        <v>45900</v>
      </c>
      <c r="L443" s="1">
        <v>45912</v>
      </c>
      <c r="M443" t="s">
        <v>76</v>
      </c>
      <c r="N443" t="s">
        <v>26</v>
      </c>
      <c r="O443">
        <v>261541.84</v>
      </c>
      <c r="P443">
        <v>156925.1</v>
      </c>
      <c r="Q443">
        <v>104616.74</v>
      </c>
      <c r="R443" t="s">
        <v>32</v>
      </c>
      <c r="S443">
        <f t="shared" si="18"/>
        <v>12</v>
      </c>
      <c r="T443" s="2">
        <f t="shared" si="19"/>
        <v>0.59999998470607996</v>
      </c>
      <c r="U443" s="2">
        <f t="shared" si="20"/>
        <v>0.4000000152939201</v>
      </c>
    </row>
    <row r="444" spans="1:21" x14ac:dyDescent="0.3">
      <c r="A444">
        <v>10443</v>
      </c>
      <c r="B444" t="s">
        <v>150</v>
      </c>
      <c r="C444" t="s">
        <v>151</v>
      </c>
      <c r="D444" t="s">
        <v>30</v>
      </c>
      <c r="E444">
        <v>47</v>
      </c>
      <c r="F444" t="s">
        <v>54</v>
      </c>
      <c r="G444" t="s">
        <v>88</v>
      </c>
      <c r="H444" t="s">
        <v>89</v>
      </c>
      <c r="I444" t="s">
        <v>62</v>
      </c>
      <c r="J444">
        <v>14</v>
      </c>
      <c r="K444" s="1">
        <v>45861</v>
      </c>
      <c r="L444" s="1">
        <v>45873</v>
      </c>
      <c r="M444" t="s">
        <v>77</v>
      </c>
      <c r="N444" t="s">
        <v>26</v>
      </c>
      <c r="O444">
        <v>86290.07</v>
      </c>
      <c r="P444">
        <v>69032.06</v>
      </c>
      <c r="Q444">
        <v>17258.009999999998</v>
      </c>
      <c r="R444" t="s">
        <v>32</v>
      </c>
      <c r="S444">
        <f t="shared" si="18"/>
        <v>12</v>
      </c>
      <c r="T444" s="2">
        <f t="shared" si="19"/>
        <v>0.80000004635527577</v>
      </c>
      <c r="U444" s="2">
        <f t="shared" si="20"/>
        <v>0.19999995364472409</v>
      </c>
    </row>
    <row r="445" spans="1:21" x14ac:dyDescent="0.3">
      <c r="A445">
        <v>10444</v>
      </c>
      <c r="B445" t="s">
        <v>144</v>
      </c>
      <c r="C445" t="s">
        <v>145</v>
      </c>
      <c r="D445" t="s">
        <v>30</v>
      </c>
      <c r="E445">
        <v>37</v>
      </c>
      <c r="F445" t="s">
        <v>40</v>
      </c>
      <c r="G445" t="s">
        <v>36</v>
      </c>
      <c r="H445" t="s">
        <v>37</v>
      </c>
      <c r="I445" t="s">
        <v>24</v>
      </c>
      <c r="J445">
        <v>12</v>
      </c>
      <c r="K445" s="1">
        <v>45762</v>
      </c>
      <c r="L445" s="1">
        <v>45769</v>
      </c>
      <c r="M445" t="s">
        <v>76</v>
      </c>
      <c r="N445" t="s">
        <v>26</v>
      </c>
      <c r="O445">
        <v>296636.63</v>
      </c>
      <c r="P445">
        <v>222477.47</v>
      </c>
      <c r="Q445">
        <v>74159.16</v>
      </c>
      <c r="R445" t="s">
        <v>32</v>
      </c>
      <c r="S445">
        <f t="shared" si="18"/>
        <v>7</v>
      </c>
      <c r="T445" s="2">
        <f t="shared" si="19"/>
        <v>0.74999999157218045</v>
      </c>
      <c r="U445" s="2">
        <f t="shared" si="20"/>
        <v>0.25000000842781961</v>
      </c>
    </row>
    <row r="446" spans="1:21" x14ac:dyDescent="0.3">
      <c r="A446">
        <v>10445</v>
      </c>
      <c r="B446" t="s">
        <v>33</v>
      </c>
      <c r="C446" t="s">
        <v>34</v>
      </c>
      <c r="D446" t="s">
        <v>20</v>
      </c>
      <c r="E446">
        <v>26</v>
      </c>
      <c r="F446" t="s">
        <v>35</v>
      </c>
      <c r="G446" t="s">
        <v>36</v>
      </c>
      <c r="H446" t="s">
        <v>37</v>
      </c>
      <c r="I446" t="s">
        <v>24</v>
      </c>
      <c r="J446">
        <v>12</v>
      </c>
      <c r="K446" s="1">
        <v>45910</v>
      </c>
      <c r="L446" s="1">
        <v>45922</v>
      </c>
      <c r="M446" t="s">
        <v>25</v>
      </c>
      <c r="N446" t="s">
        <v>26</v>
      </c>
      <c r="O446">
        <v>81684.75</v>
      </c>
      <c r="P446">
        <v>61263.56</v>
      </c>
      <c r="Q446">
        <v>20421.189999999999</v>
      </c>
      <c r="R446" t="s">
        <v>32</v>
      </c>
      <c r="S446">
        <f t="shared" si="18"/>
        <v>12</v>
      </c>
      <c r="T446" s="2">
        <f t="shared" si="19"/>
        <v>0.74999996939453195</v>
      </c>
      <c r="U446" s="2">
        <f t="shared" si="20"/>
        <v>0.25000003060546794</v>
      </c>
    </row>
    <row r="447" spans="1:21" x14ac:dyDescent="0.3">
      <c r="A447">
        <v>10446</v>
      </c>
      <c r="B447" t="s">
        <v>131</v>
      </c>
      <c r="C447" t="s">
        <v>132</v>
      </c>
      <c r="D447" t="s">
        <v>20</v>
      </c>
      <c r="E447">
        <v>68</v>
      </c>
      <c r="F447" t="s">
        <v>31</v>
      </c>
      <c r="G447" t="s">
        <v>55</v>
      </c>
      <c r="H447" t="s">
        <v>56</v>
      </c>
      <c r="I447" t="s">
        <v>49</v>
      </c>
      <c r="J447">
        <v>10</v>
      </c>
      <c r="K447" s="1">
        <v>45824</v>
      </c>
      <c r="L447" s="1">
        <v>45829</v>
      </c>
      <c r="M447" t="s">
        <v>85</v>
      </c>
      <c r="N447" t="s">
        <v>26</v>
      </c>
      <c r="O447">
        <v>70607.45</v>
      </c>
      <c r="P447">
        <v>57898.11</v>
      </c>
      <c r="Q447">
        <v>12709.34</v>
      </c>
      <c r="R447" t="s">
        <v>32</v>
      </c>
      <c r="S447">
        <f t="shared" si="18"/>
        <v>5</v>
      </c>
      <c r="T447" s="2">
        <f t="shared" si="19"/>
        <v>0.82000001416281143</v>
      </c>
      <c r="U447" s="2">
        <f t="shared" si="20"/>
        <v>0.17999998583718857</v>
      </c>
    </row>
    <row r="448" spans="1:21" x14ac:dyDescent="0.3">
      <c r="A448">
        <v>10447</v>
      </c>
      <c r="B448" t="s">
        <v>113</v>
      </c>
      <c r="C448" t="s">
        <v>114</v>
      </c>
      <c r="D448" t="s">
        <v>30</v>
      </c>
      <c r="E448">
        <v>33</v>
      </c>
      <c r="F448" t="s">
        <v>59</v>
      </c>
      <c r="G448" t="s">
        <v>70</v>
      </c>
      <c r="H448" t="s">
        <v>71</v>
      </c>
      <c r="I448" t="s">
        <v>43</v>
      </c>
      <c r="J448">
        <v>11</v>
      </c>
      <c r="K448" s="1">
        <v>45828</v>
      </c>
      <c r="L448" s="1">
        <v>45839</v>
      </c>
      <c r="M448" t="s">
        <v>112</v>
      </c>
      <c r="N448" t="s">
        <v>51</v>
      </c>
      <c r="O448">
        <v>37185.230000000003</v>
      </c>
      <c r="P448">
        <v>28632.63</v>
      </c>
      <c r="Q448">
        <v>8552.6</v>
      </c>
      <c r="R448" t="s">
        <v>32</v>
      </c>
      <c r="S448">
        <f t="shared" si="18"/>
        <v>11</v>
      </c>
      <c r="T448" s="2">
        <f t="shared" si="19"/>
        <v>0.77000007798795378</v>
      </c>
      <c r="U448" s="2">
        <f t="shared" si="20"/>
        <v>0.22999992201204617</v>
      </c>
    </row>
    <row r="449" spans="1:21" x14ac:dyDescent="0.3">
      <c r="A449">
        <v>10448</v>
      </c>
      <c r="B449" t="s">
        <v>141</v>
      </c>
      <c r="C449" t="s">
        <v>142</v>
      </c>
      <c r="D449" t="s">
        <v>30</v>
      </c>
      <c r="E449">
        <v>47</v>
      </c>
      <c r="F449" t="s">
        <v>54</v>
      </c>
      <c r="G449" t="s">
        <v>55</v>
      </c>
      <c r="H449" t="s">
        <v>56</v>
      </c>
      <c r="I449" t="s">
        <v>49</v>
      </c>
      <c r="J449">
        <v>10</v>
      </c>
      <c r="K449" s="1">
        <v>45681</v>
      </c>
      <c r="L449" s="1">
        <v>45689</v>
      </c>
      <c r="M449" t="s">
        <v>101</v>
      </c>
      <c r="N449" t="s">
        <v>51</v>
      </c>
      <c r="O449">
        <v>61515.67</v>
      </c>
      <c r="P449">
        <v>48597.38</v>
      </c>
      <c r="Q449">
        <v>12918.29</v>
      </c>
      <c r="R449" t="s">
        <v>32</v>
      </c>
      <c r="S449">
        <f t="shared" si="18"/>
        <v>8</v>
      </c>
      <c r="T449" s="2">
        <f t="shared" si="19"/>
        <v>0.79000001137921438</v>
      </c>
      <c r="U449" s="2">
        <f t="shared" si="20"/>
        <v>0.20999998862078559</v>
      </c>
    </row>
    <row r="450" spans="1:21" x14ac:dyDescent="0.3">
      <c r="A450">
        <v>10449</v>
      </c>
      <c r="B450" t="s">
        <v>92</v>
      </c>
      <c r="C450" t="s">
        <v>93</v>
      </c>
      <c r="D450" t="s">
        <v>20</v>
      </c>
      <c r="E450">
        <v>40</v>
      </c>
      <c r="F450" t="s">
        <v>54</v>
      </c>
      <c r="G450" t="s">
        <v>70</v>
      </c>
      <c r="H450" t="s">
        <v>71</v>
      </c>
      <c r="I450" t="s">
        <v>43</v>
      </c>
      <c r="J450">
        <v>11</v>
      </c>
      <c r="K450" s="1">
        <v>45917</v>
      </c>
      <c r="L450" s="1">
        <v>45930</v>
      </c>
      <c r="M450" t="s">
        <v>72</v>
      </c>
      <c r="N450" t="s">
        <v>26</v>
      </c>
      <c r="O450">
        <v>12448.31</v>
      </c>
      <c r="P450">
        <v>7593.47</v>
      </c>
      <c r="Q450">
        <v>4854.84</v>
      </c>
      <c r="R450" t="s">
        <v>32</v>
      </c>
      <c r="S450">
        <f t="shared" si="18"/>
        <v>13</v>
      </c>
      <c r="T450" s="2">
        <f t="shared" si="19"/>
        <v>0.6100000722989708</v>
      </c>
      <c r="U450" s="2">
        <f t="shared" si="20"/>
        <v>0.38999992770102931</v>
      </c>
    </row>
    <row r="451" spans="1:21" x14ac:dyDescent="0.3">
      <c r="A451">
        <v>10450</v>
      </c>
      <c r="B451" t="s">
        <v>99</v>
      </c>
      <c r="C451" t="s">
        <v>100</v>
      </c>
      <c r="D451" t="s">
        <v>30</v>
      </c>
      <c r="E451">
        <v>68</v>
      </c>
      <c r="F451" t="s">
        <v>69</v>
      </c>
      <c r="G451" t="s">
        <v>70</v>
      </c>
      <c r="H451" t="s">
        <v>71</v>
      </c>
      <c r="I451" t="s">
        <v>43</v>
      </c>
      <c r="J451">
        <v>11</v>
      </c>
      <c r="K451" s="1">
        <v>45980</v>
      </c>
      <c r="L451" s="1">
        <v>45994</v>
      </c>
      <c r="M451" t="s">
        <v>112</v>
      </c>
      <c r="N451" t="s">
        <v>51</v>
      </c>
      <c r="O451">
        <v>31759.32</v>
      </c>
      <c r="P451">
        <v>22231.52</v>
      </c>
      <c r="Q451">
        <v>9527.7999999999993</v>
      </c>
      <c r="R451" t="s">
        <v>32</v>
      </c>
      <c r="S451">
        <f t="shared" ref="S451:S514" si="21">L451-K451</f>
        <v>14</v>
      </c>
      <c r="T451" s="2">
        <f t="shared" ref="T451:T514" si="22">P451/O451</f>
        <v>0.69999987405271902</v>
      </c>
      <c r="U451" s="2">
        <f t="shared" ref="U451:U514" si="23">Q451/O451</f>
        <v>0.30000012594728098</v>
      </c>
    </row>
    <row r="452" spans="1:21" x14ac:dyDescent="0.3">
      <c r="A452">
        <v>10451</v>
      </c>
      <c r="B452" t="s">
        <v>148</v>
      </c>
      <c r="C452" t="s">
        <v>149</v>
      </c>
      <c r="D452" t="s">
        <v>30</v>
      </c>
      <c r="E452">
        <v>19</v>
      </c>
      <c r="F452" t="s">
        <v>21</v>
      </c>
      <c r="G452" t="s">
        <v>88</v>
      </c>
      <c r="H452" t="s">
        <v>89</v>
      </c>
      <c r="I452" t="s">
        <v>62</v>
      </c>
      <c r="J452">
        <v>14</v>
      </c>
      <c r="K452" s="1">
        <v>45765</v>
      </c>
      <c r="L452" s="1">
        <v>45774</v>
      </c>
      <c r="M452" t="s">
        <v>77</v>
      </c>
      <c r="N452" t="s">
        <v>26</v>
      </c>
      <c r="O452">
        <v>68337.41</v>
      </c>
      <c r="P452">
        <v>43735.94</v>
      </c>
      <c r="Q452">
        <v>24601.47</v>
      </c>
      <c r="R452" t="s">
        <v>32</v>
      </c>
      <c r="S452">
        <f t="shared" si="21"/>
        <v>9</v>
      </c>
      <c r="T452" s="2">
        <f t="shared" si="22"/>
        <v>0.63999996488014399</v>
      </c>
      <c r="U452" s="2">
        <f t="shared" si="23"/>
        <v>0.36000003511985601</v>
      </c>
    </row>
    <row r="453" spans="1:21" x14ac:dyDescent="0.3">
      <c r="A453">
        <v>10452</v>
      </c>
      <c r="B453" t="s">
        <v>158</v>
      </c>
      <c r="C453" t="s">
        <v>159</v>
      </c>
      <c r="D453" t="s">
        <v>30</v>
      </c>
      <c r="E453">
        <v>18</v>
      </c>
      <c r="F453" t="s">
        <v>35</v>
      </c>
      <c r="G453" t="s">
        <v>60</v>
      </c>
      <c r="H453" t="s">
        <v>61</v>
      </c>
      <c r="I453" t="s">
        <v>62</v>
      </c>
      <c r="J453">
        <v>18</v>
      </c>
      <c r="K453" s="1">
        <v>45986</v>
      </c>
      <c r="L453" s="1">
        <v>46000</v>
      </c>
      <c r="M453" t="s">
        <v>63</v>
      </c>
      <c r="N453" t="s">
        <v>51</v>
      </c>
      <c r="O453">
        <v>43667.43</v>
      </c>
      <c r="P453">
        <v>30567.200000000001</v>
      </c>
      <c r="Q453">
        <v>13100.23</v>
      </c>
      <c r="R453" t="s">
        <v>32</v>
      </c>
      <c r="S453">
        <f t="shared" si="21"/>
        <v>14</v>
      </c>
      <c r="T453" s="2">
        <f t="shared" si="22"/>
        <v>0.69999997709963702</v>
      </c>
      <c r="U453" s="2">
        <f t="shared" si="23"/>
        <v>0.30000002290036304</v>
      </c>
    </row>
    <row r="454" spans="1:21" x14ac:dyDescent="0.3">
      <c r="A454">
        <v>10453</v>
      </c>
      <c r="B454" t="s">
        <v>102</v>
      </c>
      <c r="C454" t="s">
        <v>103</v>
      </c>
      <c r="D454" t="s">
        <v>30</v>
      </c>
      <c r="E454">
        <v>59</v>
      </c>
      <c r="F454" t="s">
        <v>75</v>
      </c>
      <c r="G454" t="s">
        <v>36</v>
      </c>
      <c r="H454" t="s">
        <v>37</v>
      </c>
      <c r="I454" t="s">
        <v>24</v>
      </c>
      <c r="J454">
        <v>12</v>
      </c>
      <c r="K454" s="1">
        <v>45754</v>
      </c>
      <c r="L454" s="1">
        <v>45765</v>
      </c>
      <c r="M454" t="s">
        <v>76</v>
      </c>
      <c r="N454" t="s">
        <v>51</v>
      </c>
      <c r="O454">
        <v>205456.69</v>
      </c>
      <c r="P454">
        <v>127383.15</v>
      </c>
      <c r="Q454">
        <v>78073.539999999994</v>
      </c>
      <c r="R454" t="s">
        <v>27</v>
      </c>
      <c r="S454">
        <f t="shared" si="21"/>
        <v>11</v>
      </c>
      <c r="T454" s="2">
        <f t="shared" si="22"/>
        <v>0.62000001070785282</v>
      </c>
      <c r="U454" s="2">
        <f t="shared" si="23"/>
        <v>0.37999998929214712</v>
      </c>
    </row>
    <row r="455" spans="1:21" x14ac:dyDescent="0.3">
      <c r="A455">
        <v>10454</v>
      </c>
      <c r="B455" t="s">
        <v>156</v>
      </c>
      <c r="C455" t="s">
        <v>157</v>
      </c>
      <c r="D455" t="s">
        <v>30</v>
      </c>
      <c r="E455">
        <v>47</v>
      </c>
      <c r="F455" t="s">
        <v>40</v>
      </c>
      <c r="G455" t="s">
        <v>41</v>
      </c>
      <c r="H455" t="s">
        <v>42</v>
      </c>
      <c r="I455" t="s">
        <v>43</v>
      </c>
      <c r="J455">
        <v>9</v>
      </c>
      <c r="K455" s="1">
        <v>45759</v>
      </c>
      <c r="L455" s="1">
        <v>45763</v>
      </c>
      <c r="M455" t="s">
        <v>44</v>
      </c>
      <c r="N455" t="s">
        <v>51</v>
      </c>
      <c r="O455">
        <v>26889.97</v>
      </c>
      <c r="P455">
        <v>18016.28</v>
      </c>
      <c r="Q455">
        <v>8873.69</v>
      </c>
      <c r="R455" t="s">
        <v>27</v>
      </c>
      <c r="S455">
        <f t="shared" si="21"/>
        <v>4</v>
      </c>
      <c r="T455" s="2">
        <f t="shared" si="22"/>
        <v>0.67000000371885871</v>
      </c>
      <c r="U455" s="2">
        <f t="shared" si="23"/>
        <v>0.32999999628114124</v>
      </c>
    </row>
    <row r="456" spans="1:21" x14ac:dyDescent="0.3">
      <c r="A456">
        <v>10455</v>
      </c>
      <c r="B456" t="s">
        <v>28</v>
      </c>
      <c r="C456" t="s">
        <v>29</v>
      </c>
      <c r="D456" t="s">
        <v>30</v>
      </c>
      <c r="E456">
        <v>60</v>
      </c>
      <c r="F456" t="s">
        <v>31</v>
      </c>
      <c r="G456" t="s">
        <v>22</v>
      </c>
      <c r="H456" t="s">
        <v>23</v>
      </c>
      <c r="I456" t="s">
        <v>24</v>
      </c>
      <c r="J456">
        <v>15</v>
      </c>
      <c r="K456" s="1">
        <v>45887</v>
      </c>
      <c r="L456" s="1">
        <v>45892</v>
      </c>
      <c r="M456" t="s">
        <v>76</v>
      </c>
      <c r="N456" t="s">
        <v>26</v>
      </c>
      <c r="O456">
        <v>336618.39</v>
      </c>
      <c r="P456">
        <v>286125.63</v>
      </c>
      <c r="Q456">
        <v>50492.76</v>
      </c>
      <c r="R456" t="s">
        <v>32</v>
      </c>
      <c r="S456">
        <f t="shared" si="21"/>
        <v>5</v>
      </c>
      <c r="T456" s="2">
        <f t="shared" si="22"/>
        <v>0.84999999554391548</v>
      </c>
      <c r="U456" s="2">
        <f t="shared" si="23"/>
        <v>0.15000000445608452</v>
      </c>
    </row>
    <row r="457" spans="1:21" x14ac:dyDescent="0.3">
      <c r="A457">
        <v>10456</v>
      </c>
      <c r="B457" t="s">
        <v>78</v>
      </c>
      <c r="C457" t="s">
        <v>79</v>
      </c>
      <c r="D457" t="s">
        <v>20</v>
      </c>
      <c r="E457">
        <v>67</v>
      </c>
      <c r="F457" t="s">
        <v>35</v>
      </c>
      <c r="G457" t="s">
        <v>60</v>
      </c>
      <c r="H457" t="s">
        <v>61</v>
      </c>
      <c r="I457" t="s">
        <v>62</v>
      </c>
      <c r="J457">
        <v>18</v>
      </c>
      <c r="K457" s="1">
        <v>45895</v>
      </c>
      <c r="L457" s="1">
        <v>45908</v>
      </c>
      <c r="M457" t="s">
        <v>96</v>
      </c>
      <c r="N457" t="s">
        <v>26</v>
      </c>
      <c r="O457">
        <v>165887.81</v>
      </c>
      <c r="P457">
        <v>131051.37</v>
      </c>
      <c r="Q457">
        <v>34836.44</v>
      </c>
      <c r="R457" t="s">
        <v>32</v>
      </c>
      <c r="S457">
        <f t="shared" si="21"/>
        <v>13</v>
      </c>
      <c r="T457" s="2">
        <f t="shared" si="22"/>
        <v>0.79000000060281705</v>
      </c>
      <c r="U457" s="2">
        <f t="shared" si="23"/>
        <v>0.20999999939718297</v>
      </c>
    </row>
    <row r="458" spans="1:21" x14ac:dyDescent="0.3">
      <c r="A458">
        <v>10457</v>
      </c>
      <c r="B458" t="s">
        <v>133</v>
      </c>
      <c r="C458" t="s">
        <v>134</v>
      </c>
      <c r="D458" t="s">
        <v>20</v>
      </c>
      <c r="E458">
        <v>56</v>
      </c>
      <c r="F458" t="s">
        <v>40</v>
      </c>
      <c r="G458" t="s">
        <v>47</v>
      </c>
      <c r="H458" t="s">
        <v>48</v>
      </c>
      <c r="I458" t="s">
        <v>49</v>
      </c>
      <c r="J458">
        <v>8</v>
      </c>
      <c r="K458" s="1">
        <v>45879</v>
      </c>
      <c r="L458" s="1">
        <v>45892</v>
      </c>
      <c r="M458" t="s">
        <v>85</v>
      </c>
      <c r="N458" t="s">
        <v>51</v>
      </c>
      <c r="O458">
        <v>93190.37</v>
      </c>
      <c r="P458">
        <v>63369.45</v>
      </c>
      <c r="Q458">
        <v>29820.92</v>
      </c>
      <c r="R458" t="s">
        <v>27</v>
      </c>
      <c r="S458">
        <f t="shared" si="21"/>
        <v>13</v>
      </c>
      <c r="T458" s="2">
        <f t="shared" si="22"/>
        <v>0.67999998283084395</v>
      </c>
      <c r="U458" s="2">
        <f t="shared" si="23"/>
        <v>0.32000001716915599</v>
      </c>
    </row>
    <row r="459" spans="1:21" x14ac:dyDescent="0.3">
      <c r="A459">
        <v>10458</v>
      </c>
      <c r="B459" t="s">
        <v>28</v>
      </c>
      <c r="C459" t="s">
        <v>29</v>
      </c>
      <c r="D459" t="s">
        <v>30</v>
      </c>
      <c r="E459">
        <v>60</v>
      </c>
      <c r="F459" t="s">
        <v>31</v>
      </c>
      <c r="G459" t="s">
        <v>70</v>
      </c>
      <c r="H459" t="s">
        <v>71</v>
      </c>
      <c r="I459" t="s">
        <v>43</v>
      </c>
      <c r="J459">
        <v>11</v>
      </c>
      <c r="K459" s="1">
        <v>45850</v>
      </c>
      <c r="L459" s="1">
        <v>45857</v>
      </c>
      <c r="M459" t="s">
        <v>44</v>
      </c>
      <c r="N459" t="s">
        <v>26</v>
      </c>
      <c r="O459">
        <v>17025.099999999999</v>
      </c>
      <c r="P459">
        <v>10385.31</v>
      </c>
      <c r="Q459">
        <v>6639.79</v>
      </c>
      <c r="R459" t="s">
        <v>27</v>
      </c>
      <c r="S459">
        <f t="shared" si="21"/>
        <v>7</v>
      </c>
      <c r="T459" s="2">
        <f t="shared" si="22"/>
        <v>0.60999994126319379</v>
      </c>
      <c r="U459" s="2">
        <f t="shared" si="23"/>
        <v>0.39000005873680627</v>
      </c>
    </row>
    <row r="460" spans="1:21" x14ac:dyDescent="0.3">
      <c r="A460">
        <v>10459</v>
      </c>
      <c r="B460" t="s">
        <v>92</v>
      </c>
      <c r="C460" t="s">
        <v>93</v>
      </c>
      <c r="D460" t="s">
        <v>20</v>
      </c>
      <c r="E460">
        <v>40</v>
      </c>
      <c r="F460" t="s">
        <v>54</v>
      </c>
      <c r="G460" t="s">
        <v>55</v>
      </c>
      <c r="H460" t="s">
        <v>56</v>
      </c>
      <c r="I460" t="s">
        <v>49</v>
      </c>
      <c r="J460">
        <v>10</v>
      </c>
      <c r="K460" s="1">
        <v>45932</v>
      </c>
      <c r="L460" s="1">
        <v>45937</v>
      </c>
      <c r="M460" t="s">
        <v>50</v>
      </c>
      <c r="N460" t="s">
        <v>26</v>
      </c>
      <c r="O460">
        <v>260844.76</v>
      </c>
      <c r="P460">
        <v>195633.57</v>
      </c>
      <c r="Q460">
        <v>65211.19</v>
      </c>
      <c r="R460" t="s">
        <v>32</v>
      </c>
      <c r="S460">
        <f t="shared" si="21"/>
        <v>5</v>
      </c>
      <c r="T460" s="2">
        <f t="shared" si="22"/>
        <v>0.75</v>
      </c>
      <c r="U460" s="2">
        <f t="shared" si="23"/>
        <v>0.25</v>
      </c>
    </row>
    <row r="461" spans="1:21" x14ac:dyDescent="0.3">
      <c r="A461">
        <v>10460</v>
      </c>
      <c r="B461" t="s">
        <v>78</v>
      </c>
      <c r="C461" t="s">
        <v>79</v>
      </c>
      <c r="D461" t="s">
        <v>20</v>
      </c>
      <c r="E461">
        <v>67</v>
      </c>
      <c r="F461" t="s">
        <v>35</v>
      </c>
      <c r="G461" t="s">
        <v>47</v>
      </c>
      <c r="H461" t="s">
        <v>48</v>
      </c>
      <c r="I461" t="s">
        <v>49</v>
      </c>
      <c r="J461">
        <v>8</v>
      </c>
      <c r="K461" s="1">
        <v>45782</v>
      </c>
      <c r="L461" s="1">
        <v>45784</v>
      </c>
      <c r="M461" t="s">
        <v>50</v>
      </c>
      <c r="N461" t="s">
        <v>26</v>
      </c>
      <c r="O461">
        <v>330737.91999999998</v>
      </c>
      <c r="P461">
        <v>231516.54</v>
      </c>
      <c r="Q461">
        <v>99221.38</v>
      </c>
      <c r="R461" t="s">
        <v>32</v>
      </c>
      <c r="S461">
        <f t="shared" si="21"/>
        <v>2</v>
      </c>
      <c r="T461" s="2">
        <f t="shared" si="22"/>
        <v>0.69999998790583196</v>
      </c>
      <c r="U461" s="2">
        <f t="shared" si="23"/>
        <v>0.3000000120941681</v>
      </c>
    </row>
    <row r="462" spans="1:21" x14ac:dyDescent="0.3">
      <c r="A462">
        <v>10461</v>
      </c>
      <c r="B462" t="s">
        <v>57</v>
      </c>
      <c r="C462" t="s">
        <v>58</v>
      </c>
      <c r="D462" t="s">
        <v>20</v>
      </c>
      <c r="E462">
        <v>45</v>
      </c>
      <c r="F462" t="s">
        <v>59</v>
      </c>
      <c r="G462" t="s">
        <v>70</v>
      </c>
      <c r="H462" t="s">
        <v>71</v>
      </c>
      <c r="I462" t="s">
        <v>43</v>
      </c>
      <c r="J462">
        <v>11</v>
      </c>
      <c r="K462" s="1">
        <v>45928</v>
      </c>
      <c r="L462" s="1">
        <v>45935</v>
      </c>
      <c r="M462" t="s">
        <v>112</v>
      </c>
      <c r="N462" t="s">
        <v>26</v>
      </c>
      <c r="O462">
        <v>52969.27</v>
      </c>
      <c r="P462">
        <v>33900.33</v>
      </c>
      <c r="Q462">
        <v>19068.939999999999</v>
      </c>
      <c r="R462" t="s">
        <v>27</v>
      </c>
      <c r="S462">
        <f t="shared" si="21"/>
        <v>7</v>
      </c>
      <c r="T462" s="2">
        <f t="shared" si="22"/>
        <v>0.63999994713916208</v>
      </c>
      <c r="U462" s="2">
        <f t="shared" si="23"/>
        <v>0.36000005286083797</v>
      </c>
    </row>
    <row r="463" spans="1:21" x14ac:dyDescent="0.3">
      <c r="A463">
        <v>10462</v>
      </c>
      <c r="B463" t="s">
        <v>148</v>
      </c>
      <c r="C463" t="s">
        <v>149</v>
      </c>
      <c r="D463" t="s">
        <v>30</v>
      </c>
      <c r="E463">
        <v>19</v>
      </c>
      <c r="F463" t="s">
        <v>21</v>
      </c>
      <c r="G463" t="s">
        <v>22</v>
      </c>
      <c r="H463" t="s">
        <v>23</v>
      </c>
      <c r="I463" t="s">
        <v>24</v>
      </c>
      <c r="J463">
        <v>15</v>
      </c>
      <c r="K463" s="1">
        <v>45883</v>
      </c>
      <c r="L463" s="1">
        <v>45893</v>
      </c>
      <c r="M463" t="s">
        <v>76</v>
      </c>
      <c r="N463" t="s">
        <v>51</v>
      </c>
      <c r="O463">
        <v>406016.99</v>
      </c>
      <c r="P463">
        <v>336994.1</v>
      </c>
      <c r="Q463">
        <v>69022.89</v>
      </c>
      <c r="R463" t="s">
        <v>27</v>
      </c>
      <c r="S463">
        <f t="shared" si="21"/>
        <v>10</v>
      </c>
      <c r="T463" s="2">
        <f t="shared" si="22"/>
        <v>0.829999995812983</v>
      </c>
      <c r="U463" s="2">
        <f t="shared" si="23"/>
        <v>0.17000000418701691</v>
      </c>
    </row>
    <row r="464" spans="1:21" x14ac:dyDescent="0.3">
      <c r="A464">
        <v>10463</v>
      </c>
      <c r="B464" t="s">
        <v>123</v>
      </c>
      <c r="C464" t="s">
        <v>124</v>
      </c>
      <c r="D464" t="s">
        <v>30</v>
      </c>
      <c r="E464">
        <v>65</v>
      </c>
      <c r="F464" t="s">
        <v>35</v>
      </c>
      <c r="G464" t="s">
        <v>60</v>
      </c>
      <c r="H464" t="s">
        <v>61</v>
      </c>
      <c r="I464" t="s">
        <v>62</v>
      </c>
      <c r="J464">
        <v>18</v>
      </c>
      <c r="K464" s="1">
        <v>45842</v>
      </c>
      <c r="L464" s="1">
        <v>45855</v>
      </c>
      <c r="M464" t="s">
        <v>63</v>
      </c>
      <c r="N464" t="s">
        <v>26</v>
      </c>
      <c r="O464">
        <v>36375.089999999997</v>
      </c>
      <c r="P464">
        <v>26917.57</v>
      </c>
      <c r="Q464">
        <v>9457.52</v>
      </c>
      <c r="R464" t="s">
        <v>32</v>
      </c>
      <c r="S464">
        <f t="shared" si="21"/>
        <v>13</v>
      </c>
      <c r="T464" s="2">
        <f t="shared" si="22"/>
        <v>0.74000009347055917</v>
      </c>
      <c r="U464" s="2">
        <f t="shared" si="23"/>
        <v>0.25999990652944094</v>
      </c>
    </row>
    <row r="465" spans="1:21" x14ac:dyDescent="0.3">
      <c r="A465">
        <v>10464</v>
      </c>
      <c r="B465" t="s">
        <v>139</v>
      </c>
      <c r="C465" t="s">
        <v>140</v>
      </c>
      <c r="D465" t="s">
        <v>20</v>
      </c>
      <c r="E465">
        <v>21</v>
      </c>
      <c r="F465" t="s">
        <v>119</v>
      </c>
      <c r="G465" t="s">
        <v>88</v>
      </c>
      <c r="H465" t="s">
        <v>89</v>
      </c>
      <c r="I465" t="s">
        <v>62</v>
      </c>
      <c r="J465">
        <v>14</v>
      </c>
      <c r="K465" s="1">
        <v>45690</v>
      </c>
      <c r="L465" s="1">
        <v>45697</v>
      </c>
      <c r="M465" t="s">
        <v>63</v>
      </c>
      <c r="N465" t="s">
        <v>51</v>
      </c>
      <c r="O465">
        <v>36319.370000000003</v>
      </c>
      <c r="P465">
        <v>23244.400000000001</v>
      </c>
      <c r="Q465">
        <v>13074.97</v>
      </c>
      <c r="R465" t="s">
        <v>32</v>
      </c>
      <c r="S465">
        <f t="shared" si="21"/>
        <v>7</v>
      </c>
      <c r="T465" s="2">
        <f t="shared" si="22"/>
        <v>0.64000008810725517</v>
      </c>
      <c r="U465" s="2">
        <f t="shared" si="23"/>
        <v>0.35999991189274477</v>
      </c>
    </row>
    <row r="466" spans="1:21" x14ac:dyDescent="0.3">
      <c r="A466">
        <v>10465</v>
      </c>
      <c r="B466" t="s">
        <v>125</v>
      </c>
      <c r="C466" t="s">
        <v>126</v>
      </c>
      <c r="D466" t="s">
        <v>30</v>
      </c>
      <c r="E466">
        <v>73</v>
      </c>
      <c r="F466" t="s">
        <v>21</v>
      </c>
      <c r="G466" t="s">
        <v>47</v>
      </c>
      <c r="H466" t="s">
        <v>48</v>
      </c>
      <c r="I466" t="s">
        <v>49</v>
      </c>
      <c r="J466">
        <v>8</v>
      </c>
      <c r="K466" s="1">
        <v>45847</v>
      </c>
      <c r="L466" s="1">
        <v>45852</v>
      </c>
      <c r="M466" t="s">
        <v>85</v>
      </c>
      <c r="N466" t="s">
        <v>51</v>
      </c>
      <c r="O466">
        <v>66925.149999999994</v>
      </c>
      <c r="P466">
        <v>50193.86</v>
      </c>
      <c r="Q466">
        <v>16731.29</v>
      </c>
      <c r="R466" t="s">
        <v>27</v>
      </c>
      <c r="S466">
        <f t="shared" si="21"/>
        <v>5</v>
      </c>
      <c r="T466" s="2">
        <f t="shared" si="22"/>
        <v>0.74999996264483537</v>
      </c>
      <c r="U466" s="2">
        <f t="shared" si="23"/>
        <v>0.25000003735516474</v>
      </c>
    </row>
    <row r="467" spans="1:21" x14ac:dyDescent="0.3">
      <c r="A467">
        <v>10466</v>
      </c>
      <c r="B467" t="s">
        <v>113</v>
      </c>
      <c r="C467" t="s">
        <v>114</v>
      </c>
      <c r="D467" t="s">
        <v>30</v>
      </c>
      <c r="E467">
        <v>33</v>
      </c>
      <c r="F467" t="s">
        <v>59</v>
      </c>
      <c r="G467" t="s">
        <v>88</v>
      </c>
      <c r="H467" t="s">
        <v>89</v>
      </c>
      <c r="I467" t="s">
        <v>62</v>
      </c>
      <c r="J467">
        <v>14</v>
      </c>
      <c r="K467" s="1">
        <v>45993</v>
      </c>
      <c r="L467" s="1">
        <v>45999</v>
      </c>
      <c r="M467" t="s">
        <v>96</v>
      </c>
      <c r="N467" t="s">
        <v>51</v>
      </c>
      <c r="O467">
        <v>206940.75</v>
      </c>
      <c r="P467">
        <v>128303.26</v>
      </c>
      <c r="Q467">
        <v>78637.490000000005</v>
      </c>
      <c r="R467" t="s">
        <v>32</v>
      </c>
      <c r="S467">
        <f t="shared" si="21"/>
        <v>6</v>
      </c>
      <c r="T467" s="2">
        <f t="shared" si="22"/>
        <v>0.61999997583849475</v>
      </c>
      <c r="U467" s="2">
        <f t="shared" si="23"/>
        <v>0.38000002416150519</v>
      </c>
    </row>
    <row r="468" spans="1:21" x14ac:dyDescent="0.3">
      <c r="A468">
        <v>10467</v>
      </c>
      <c r="B468" t="s">
        <v>82</v>
      </c>
      <c r="C468" t="s">
        <v>83</v>
      </c>
      <c r="D468" t="s">
        <v>20</v>
      </c>
      <c r="E468">
        <v>74</v>
      </c>
      <c r="F468" t="s">
        <v>84</v>
      </c>
      <c r="G468" t="s">
        <v>47</v>
      </c>
      <c r="H468" t="s">
        <v>48</v>
      </c>
      <c r="I468" t="s">
        <v>49</v>
      </c>
      <c r="J468">
        <v>8</v>
      </c>
      <c r="K468" s="1">
        <v>45889</v>
      </c>
      <c r="L468" s="1">
        <v>45893</v>
      </c>
      <c r="M468" t="s">
        <v>50</v>
      </c>
      <c r="N468" t="s">
        <v>26</v>
      </c>
      <c r="O468">
        <v>276109.40000000002</v>
      </c>
      <c r="P468">
        <v>226409.71</v>
      </c>
      <c r="Q468">
        <v>49699.69</v>
      </c>
      <c r="R468" t="s">
        <v>27</v>
      </c>
      <c r="S468">
        <f t="shared" si="21"/>
        <v>4</v>
      </c>
      <c r="T468" s="2">
        <f t="shared" si="22"/>
        <v>0.82000000724350552</v>
      </c>
      <c r="U468" s="2">
        <f t="shared" si="23"/>
        <v>0.17999999275649434</v>
      </c>
    </row>
    <row r="469" spans="1:21" x14ac:dyDescent="0.3">
      <c r="A469">
        <v>10468</v>
      </c>
      <c r="B469" t="s">
        <v>94</v>
      </c>
      <c r="C469" t="s">
        <v>95</v>
      </c>
      <c r="D469" t="s">
        <v>30</v>
      </c>
      <c r="E469">
        <v>66</v>
      </c>
      <c r="F469" t="s">
        <v>54</v>
      </c>
      <c r="G469" t="s">
        <v>55</v>
      </c>
      <c r="H469" t="s">
        <v>56</v>
      </c>
      <c r="I469" t="s">
        <v>49</v>
      </c>
      <c r="J469">
        <v>10</v>
      </c>
      <c r="K469" s="1">
        <v>45784</v>
      </c>
      <c r="L469" s="1">
        <v>45791</v>
      </c>
      <c r="M469" t="s">
        <v>50</v>
      </c>
      <c r="N469" t="s">
        <v>26</v>
      </c>
      <c r="O469">
        <v>224361.29</v>
      </c>
      <c r="P469">
        <v>183976.26</v>
      </c>
      <c r="Q469">
        <v>40385.03</v>
      </c>
      <c r="R469" t="s">
        <v>32</v>
      </c>
      <c r="S469">
        <f t="shared" si="21"/>
        <v>7</v>
      </c>
      <c r="T469" s="2">
        <f t="shared" si="22"/>
        <v>0.82000000980561305</v>
      </c>
      <c r="U469" s="2">
        <f t="shared" si="23"/>
        <v>0.17999999019438689</v>
      </c>
    </row>
    <row r="470" spans="1:21" x14ac:dyDescent="0.3">
      <c r="A470">
        <v>10469</v>
      </c>
      <c r="B470" t="s">
        <v>92</v>
      </c>
      <c r="C470" t="s">
        <v>93</v>
      </c>
      <c r="D470" t="s">
        <v>20</v>
      </c>
      <c r="E470">
        <v>40</v>
      </c>
      <c r="F470" t="s">
        <v>54</v>
      </c>
      <c r="G470" t="s">
        <v>47</v>
      </c>
      <c r="H470" t="s">
        <v>48</v>
      </c>
      <c r="I470" t="s">
        <v>49</v>
      </c>
      <c r="J470">
        <v>8</v>
      </c>
      <c r="K470" s="1">
        <v>45939</v>
      </c>
      <c r="L470" s="1">
        <v>45946</v>
      </c>
      <c r="M470" t="s">
        <v>85</v>
      </c>
      <c r="N470" t="s">
        <v>26</v>
      </c>
      <c r="O470">
        <v>67538.960000000006</v>
      </c>
      <c r="P470">
        <v>47277.27</v>
      </c>
      <c r="Q470">
        <v>20261.689999999999</v>
      </c>
      <c r="R470" t="s">
        <v>32</v>
      </c>
      <c r="S470">
        <f t="shared" si="21"/>
        <v>7</v>
      </c>
      <c r="T470" s="2">
        <f t="shared" si="22"/>
        <v>0.6999999703874622</v>
      </c>
      <c r="U470" s="2">
        <f t="shared" si="23"/>
        <v>0.30000002961253769</v>
      </c>
    </row>
    <row r="471" spans="1:21" x14ac:dyDescent="0.3">
      <c r="A471">
        <v>10470</v>
      </c>
      <c r="B471" t="s">
        <v>120</v>
      </c>
      <c r="C471" t="s">
        <v>74</v>
      </c>
      <c r="D471" t="s">
        <v>20</v>
      </c>
      <c r="E471">
        <v>61</v>
      </c>
      <c r="F471" t="s">
        <v>69</v>
      </c>
      <c r="G471" t="s">
        <v>88</v>
      </c>
      <c r="H471" t="s">
        <v>89</v>
      </c>
      <c r="I471" t="s">
        <v>62</v>
      </c>
      <c r="J471">
        <v>14</v>
      </c>
      <c r="K471" s="1">
        <v>45953</v>
      </c>
      <c r="L471" s="1">
        <v>45967</v>
      </c>
      <c r="M471" t="s">
        <v>77</v>
      </c>
      <c r="N471" t="s">
        <v>26</v>
      </c>
      <c r="O471">
        <v>65521.760000000002</v>
      </c>
      <c r="P471">
        <v>53727.839999999997</v>
      </c>
      <c r="Q471">
        <v>11793.92</v>
      </c>
      <c r="R471" t="s">
        <v>32</v>
      </c>
      <c r="S471">
        <f t="shared" si="21"/>
        <v>14</v>
      </c>
      <c r="T471" s="2">
        <f t="shared" si="22"/>
        <v>0.81999995116126301</v>
      </c>
      <c r="U471" s="2">
        <f t="shared" si="23"/>
        <v>0.18000004883873694</v>
      </c>
    </row>
    <row r="472" spans="1:21" x14ac:dyDescent="0.3">
      <c r="A472">
        <v>10471</v>
      </c>
      <c r="B472" t="s">
        <v>57</v>
      </c>
      <c r="C472" t="s">
        <v>58</v>
      </c>
      <c r="D472" t="s">
        <v>20</v>
      </c>
      <c r="E472">
        <v>45</v>
      </c>
      <c r="F472" t="s">
        <v>59</v>
      </c>
      <c r="G472" t="s">
        <v>55</v>
      </c>
      <c r="H472" t="s">
        <v>56</v>
      </c>
      <c r="I472" t="s">
        <v>49</v>
      </c>
      <c r="J472">
        <v>10</v>
      </c>
      <c r="K472" s="1">
        <v>45892</v>
      </c>
      <c r="L472" s="1">
        <v>45902</v>
      </c>
      <c r="M472" t="s">
        <v>85</v>
      </c>
      <c r="N472" t="s">
        <v>51</v>
      </c>
      <c r="O472">
        <v>61855.05</v>
      </c>
      <c r="P472">
        <v>48865.49</v>
      </c>
      <c r="Q472">
        <v>12989.56</v>
      </c>
      <c r="R472" t="s">
        <v>32</v>
      </c>
      <c r="S472">
        <f t="shared" si="21"/>
        <v>10</v>
      </c>
      <c r="T472" s="2">
        <f t="shared" si="22"/>
        <v>0.79000000808341431</v>
      </c>
      <c r="U472" s="2">
        <f t="shared" si="23"/>
        <v>0.20999999191658561</v>
      </c>
    </row>
    <row r="473" spans="1:21" x14ac:dyDescent="0.3">
      <c r="A473">
        <v>10472</v>
      </c>
      <c r="B473" t="s">
        <v>67</v>
      </c>
      <c r="C473" t="s">
        <v>68</v>
      </c>
      <c r="D473" t="s">
        <v>20</v>
      </c>
      <c r="E473">
        <v>33</v>
      </c>
      <c r="F473" t="s">
        <v>69</v>
      </c>
      <c r="G473" t="s">
        <v>36</v>
      </c>
      <c r="H473" t="s">
        <v>37</v>
      </c>
      <c r="I473" t="s">
        <v>24</v>
      </c>
      <c r="J473">
        <v>12</v>
      </c>
      <c r="K473" s="1">
        <v>45748</v>
      </c>
      <c r="L473" s="1">
        <v>45759</v>
      </c>
      <c r="M473" t="s">
        <v>66</v>
      </c>
      <c r="N473" t="s">
        <v>51</v>
      </c>
      <c r="O473">
        <v>81090.720000000001</v>
      </c>
      <c r="P473">
        <v>67305.3</v>
      </c>
      <c r="Q473">
        <v>13785.42</v>
      </c>
      <c r="R473" t="s">
        <v>32</v>
      </c>
      <c r="S473">
        <f t="shared" si="21"/>
        <v>11</v>
      </c>
      <c r="T473" s="2">
        <f t="shared" si="22"/>
        <v>0.83000002959648156</v>
      </c>
      <c r="U473" s="2">
        <f t="shared" si="23"/>
        <v>0.16999997040351844</v>
      </c>
    </row>
    <row r="474" spans="1:21" x14ac:dyDescent="0.3">
      <c r="A474">
        <v>10473</v>
      </c>
      <c r="B474" t="s">
        <v>45</v>
      </c>
      <c r="C474" t="s">
        <v>46</v>
      </c>
      <c r="D474" t="s">
        <v>30</v>
      </c>
      <c r="E474">
        <v>45</v>
      </c>
      <c r="F474" t="s">
        <v>40</v>
      </c>
      <c r="G474" t="s">
        <v>88</v>
      </c>
      <c r="H474" t="s">
        <v>89</v>
      </c>
      <c r="I474" t="s">
        <v>62</v>
      </c>
      <c r="J474">
        <v>14</v>
      </c>
      <c r="K474" s="1">
        <v>45681</v>
      </c>
      <c r="L474" s="1">
        <v>45692</v>
      </c>
      <c r="M474" t="s">
        <v>96</v>
      </c>
      <c r="N474" t="s">
        <v>26</v>
      </c>
      <c r="O474">
        <v>292444.65000000002</v>
      </c>
      <c r="P474">
        <v>245653.51</v>
      </c>
      <c r="Q474">
        <v>46791.14</v>
      </c>
      <c r="R474" t="s">
        <v>32</v>
      </c>
      <c r="S474">
        <f t="shared" si="21"/>
        <v>11</v>
      </c>
      <c r="T474" s="2">
        <f t="shared" si="22"/>
        <v>0.84000001367780186</v>
      </c>
      <c r="U474" s="2">
        <f t="shared" si="23"/>
        <v>0.15999998632219806</v>
      </c>
    </row>
    <row r="475" spans="1:21" x14ac:dyDescent="0.3">
      <c r="A475">
        <v>10474</v>
      </c>
      <c r="B475" t="s">
        <v>148</v>
      </c>
      <c r="C475" t="s">
        <v>149</v>
      </c>
      <c r="D475" t="s">
        <v>30</v>
      </c>
      <c r="E475">
        <v>19</v>
      </c>
      <c r="F475" t="s">
        <v>21</v>
      </c>
      <c r="G475" t="s">
        <v>41</v>
      </c>
      <c r="H475" t="s">
        <v>42</v>
      </c>
      <c r="I475" t="s">
        <v>43</v>
      </c>
      <c r="J475">
        <v>9</v>
      </c>
      <c r="K475" s="1">
        <v>45810</v>
      </c>
      <c r="L475" s="1">
        <v>45813</v>
      </c>
      <c r="M475" t="s">
        <v>44</v>
      </c>
      <c r="N475" t="s">
        <v>26</v>
      </c>
      <c r="O475">
        <v>28487.5</v>
      </c>
      <c r="P475">
        <v>21080.75</v>
      </c>
      <c r="Q475">
        <v>7406.75</v>
      </c>
      <c r="R475" t="s">
        <v>27</v>
      </c>
      <c r="S475">
        <f t="shared" si="21"/>
        <v>3</v>
      </c>
      <c r="T475" s="2">
        <f t="shared" si="22"/>
        <v>0.74</v>
      </c>
      <c r="U475" s="2">
        <f t="shared" si="23"/>
        <v>0.26</v>
      </c>
    </row>
    <row r="476" spans="1:21" x14ac:dyDescent="0.3">
      <c r="A476">
        <v>10475</v>
      </c>
      <c r="B476" t="s">
        <v>141</v>
      </c>
      <c r="C476" t="s">
        <v>142</v>
      </c>
      <c r="D476" t="s">
        <v>30</v>
      </c>
      <c r="E476">
        <v>47</v>
      </c>
      <c r="F476" t="s">
        <v>54</v>
      </c>
      <c r="G476" t="s">
        <v>22</v>
      </c>
      <c r="H476" t="s">
        <v>23</v>
      </c>
      <c r="I476" t="s">
        <v>24</v>
      </c>
      <c r="J476">
        <v>15</v>
      </c>
      <c r="K476" s="1">
        <v>45750</v>
      </c>
      <c r="L476" s="1">
        <v>45755</v>
      </c>
      <c r="M476" t="s">
        <v>76</v>
      </c>
      <c r="N476" t="s">
        <v>26</v>
      </c>
      <c r="O476">
        <v>301746.34999999998</v>
      </c>
      <c r="P476">
        <v>250449.47</v>
      </c>
      <c r="Q476">
        <v>51296.88</v>
      </c>
      <c r="R476" t="s">
        <v>32</v>
      </c>
      <c r="S476">
        <f t="shared" si="21"/>
        <v>5</v>
      </c>
      <c r="T476" s="2">
        <f t="shared" si="22"/>
        <v>0.82999999834297922</v>
      </c>
      <c r="U476" s="2">
        <f t="shared" si="23"/>
        <v>0.17000000165702087</v>
      </c>
    </row>
    <row r="477" spans="1:21" x14ac:dyDescent="0.3">
      <c r="A477">
        <v>10476</v>
      </c>
      <c r="B477" t="s">
        <v>141</v>
      </c>
      <c r="C477" t="s">
        <v>142</v>
      </c>
      <c r="D477" t="s">
        <v>30</v>
      </c>
      <c r="E477">
        <v>47</v>
      </c>
      <c r="F477" t="s">
        <v>54</v>
      </c>
      <c r="G477" t="s">
        <v>36</v>
      </c>
      <c r="H477" t="s">
        <v>37</v>
      </c>
      <c r="I477" t="s">
        <v>24</v>
      </c>
      <c r="J477">
        <v>12</v>
      </c>
      <c r="K477" s="1">
        <v>45891</v>
      </c>
      <c r="L477" s="1">
        <v>45905</v>
      </c>
      <c r="M477" t="s">
        <v>76</v>
      </c>
      <c r="N477" t="s">
        <v>26</v>
      </c>
      <c r="O477">
        <v>236255.46</v>
      </c>
      <c r="P477">
        <v>146478.39000000001</v>
      </c>
      <c r="Q477">
        <v>89777.07</v>
      </c>
      <c r="R477" t="s">
        <v>32</v>
      </c>
      <c r="S477">
        <f t="shared" si="21"/>
        <v>14</v>
      </c>
      <c r="T477" s="2">
        <f t="shared" si="22"/>
        <v>0.62000002031699086</v>
      </c>
      <c r="U477" s="2">
        <f t="shared" si="23"/>
        <v>0.37999997968300925</v>
      </c>
    </row>
    <row r="478" spans="1:21" x14ac:dyDescent="0.3">
      <c r="A478">
        <v>10477</v>
      </c>
      <c r="B478" t="s">
        <v>144</v>
      </c>
      <c r="C478" t="s">
        <v>145</v>
      </c>
      <c r="D478" t="s">
        <v>30</v>
      </c>
      <c r="E478">
        <v>37</v>
      </c>
      <c r="F478" t="s">
        <v>40</v>
      </c>
      <c r="G478" t="s">
        <v>47</v>
      </c>
      <c r="H478" t="s">
        <v>48</v>
      </c>
      <c r="I478" t="s">
        <v>49</v>
      </c>
      <c r="J478">
        <v>8</v>
      </c>
      <c r="K478" s="1">
        <v>45706</v>
      </c>
      <c r="L478" s="1">
        <v>45709</v>
      </c>
      <c r="M478" t="s">
        <v>50</v>
      </c>
      <c r="N478" t="s">
        <v>26</v>
      </c>
      <c r="O478">
        <v>239595.2</v>
      </c>
      <c r="P478">
        <v>146153.07</v>
      </c>
      <c r="Q478">
        <v>93442.13</v>
      </c>
      <c r="R478" t="s">
        <v>32</v>
      </c>
      <c r="S478">
        <f t="shared" si="21"/>
        <v>3</v>
      </c>
      <c r="T478" s="2">
        <f t="shared" si="22"/>
        <v>0.60999999165258734</v>
      </c>
      <c r="U478" s="2">
        <f t="shared" si="23"/>
        <v>0.39000000834741266</v>
      </c>
    </row>
    <row r="479" spans="1:21" x14ac:dyDescent="0.3">
      <c r="A479">
        <v>10478</v>
      </c>
      <c r="B479" t="s">
        <v>162</v>
      </c>
      <c r="C479" t="s">
        <v>91</v>
      </c>
      <c r="D479" t="s">
        <v>30</v>
      </c>
      <c r="E479">
        <v>39</v>
      </c>
      <c r="F479" t="s">
        <v>119</v>
      </c>
      <c r="G479" t="s">
        <v>22</v>
      </c>
      <c r="H479" t="s">
        <v>23</v>
      </c>
      <c r="I479" t="s">
        <v>24</v>
      </c>
      <c r="J479">
        <v>15</v>
      </c>
      <c r="K479" s="1">
        <v>45908</v>
      </c>
      <c r="L479" s="1">
        <v>45914</v>
      </c>
      <c r="M479" t="s">
        <v>76</v>
      </c>
      <c r="N479" t="s">
        <v>26</v>
      </c>
      <c r="O479">
        <v>359854.9</v>
      </c>
      <c r="P479">
        <v>219511.49</v>
      </c>
      <c r="Q479">
        <v>140343.41</v>
      </c>
      <c r="R479" t="s">
        <v>27</v>
      </c>
      <c r="S479">
        <f t="shared" si="21"/>
        <v>6</v>
      </c>
      <c r="T479" s="2">
        <f t="shared" si="22"/>
        <v>0.61000000277889777</v>
      </c>
      <c r="U479" s="2">
        <f t="shared" si="23"/>
        <v>0.38999999722110218</v>
      </c>
    </row>
    <row r="480" spans="1:21" x14ac:dyDescent="0.3">
      <c r="A480">
        <v>10479</v>
      </c>
      <c r="B480" t="s">
        <v>92</v>
      </c>
      <c r="C480" t="s">
        <v>93</v>
      </c>
      <c r="D480" t="s">
        <v>20</v>
      </c>
      <c r="E480">
        <v>40</v>
      </c>
      <c r="F480" t="s">
        <v>54</v>
      </c>
      <c r="G480" t="s">
        <v>41</v>
      </c>
      <c r="H480" t="s">
        <v>42</v>
      </c>
      <c r="I480" t="s">
        <v>43</v>
      </c>
      <c r="J480">
        <v>9</v>
      </c>
      <c r="K480" s="1">
        <v>45858</v>
      </c>
      <c r="L480" s="1">
        <v>45867</v>
      </c>
      <c r="M480" t="s">
        <v>112</v>
      </c>
      <c r="N480" t="s">
        <v>26</v>
      </c>
      <c r="O480">
        <v>70945.960000000006</v>
      </c>
      <c r="P480">
        <v>48952.71</v>
      </c>
      <c r="Q480">
        <v>21993.25</v>
      </c>
      <c r="R480" t="s">
        <v>27</v>
      </c>
      <c r="S480">
        <f t="shared" si="21"/>
        <v>9</v>
      </c>
      <c r="T480" s="2">
        <f t="shared" si="22"/>
        <v>0.68999996617143522</v>
      </c>
      <c r="U480" s="2">
        <f t="shared" si="23"/>
        <v>0.31000003382856473</v>
      </c>
    </row>
    <row r="481" spans="1:21" x14ac:dyDescent="0.3">
      <c r="A481">
        <v>10480</v>
      </c>
      <c r="B481" t="s">
        <v>90</v>
      </c>
      <c r="C481" t="s">
        <v>91</v>
      </c>
      <c r="D481" t="s">
        <v>20</v>
      </c>
      <c r="E481">
        <v>48</v>
      </c>
      <c r="F481" t="s">
        <v>84</v>
      </c>
      <c r="G481" t="s">
        <v>88</v>
      </c>
      <c r="H481" t="s">
        <v>89</v>
      </c>
      <c r="I481" t="s">
        <v>62</v>
      </c>
      <c r="J481">
        <v>14</v>
      </c>
      <c r="K481" s="1">
        <v>45895</v>
      </c>
      <c r="L481" s="1">
        <v>45902</v>
      </c>
      <c r="M481" t="s">
        <v>96</v>
      </c>
      <c r="N481" t="s">
        <v>26</v>
      </c>
      <c r="O481">
        <v>106755.09</v>
      </c>
      <c r="P481">
        <v>67255.710000000006</v>
      </c>
      <c r="Q481">
        <v>39499.379999999997</v>
      </c>
      <c r="R481" t="s">
        <v>32</v>
      </c>
      <c r="S481">
        <f t="shared" si="21"/>
        <v>7</v>
      </c>
      <c r="T481" s="2">
        <f t="shared" si="22"/>
        <v>0.63000003091187506</v>
      </c>
      <c r="U481" s="2">
        <f t="shared" si="23"/>
        <v>0.36999996908812499</v>
      </c>
    </row>
    <row r="482" spans="1:21" x14ac:dyDescent="0.3">
      <c r="A482">
        <v>10481</v>
      </c>
      <c r="B482" t="s">
        <v>110</v>
      </c>
      <c r="C482" t="s">
        <v>111</v>
      </c>
      <c r="D482" t="s">
        <v>20</v>
      </c>
      <c r="E482">
        <v>44</v>
      </c>
      <c r="F482" t="s">
        <v>35</v>
      </c>
      <c r="G482" t="s">
        <v>47</v>
      </c>
      <c r="H482" t="s">
        <v>48</v>
      </c>
      <c r="I482" t="s">
        <v>49</v>
      </c>
      <c r="J482">
        <v>8</v>
      </c>
      <c r="K482" s="1">
        <v>45927</v>
      </c>
      <c r="L482" s="1">
        <v>45940</v>
      </c>
      <c r="M482" t="s">
        <v>101</v>
      </c>
      <c r="N482" t="s">
        <v>26</v>
      </c>
      <c r="O482">
        <v>24597.5</v>
      </c>
      <c r="P482">
        <v>20415.919999999998</v>
      </c>
      <c r="Q482">
        <v>4181.58</v>
      </c>
      <c r="R482" t="s">
        <v>32</v>
      </c>
      <c r="S482">
        <f t="shared" si="21"/>
        <v>13</v>
      </c>
      <c r="T482" s="2">
        <f t="shared" si="22"/>
        <v>0.82999979672730961</v>
      </c>
      <c r="U482" s="2">
        <f t="shared" si="23"/>
        <v>0.1700002032726903</v>
      </c>
    </row>
    <row r="483" spans="1:21" x14ac:dyDescent="0.3">
      <c r="A483">
        <v>10482</v>
      </c>
      <c r="B483" t="s">
        <v>94</v>
      </c>
      <c r="C483" t="s">
        <v>95</v>
      </c>
      <c r="D483" t="s">
        <v>30</v>
      </c>
      <c r="E483">
        <v>66</v>
      </c>
      <c r="F483" t="s">
        <v>54</v>
      </c>
      <c r="G483" t="s">
        <v>60</v>
      </c>
      <c r="H483" t="s">
        <v>61</v>
      </c>
      <c r="I483" t="s">
        <v>62</v>
      </c>
      <c r="J483">
        <v>18</v>
      </c>
      <c r="K483" s="1">
        <v>45990</v>
      </c>
      <c r="L483" s="1">
        <v>45995</v>
      </c>
      <c r="M483" t="s">
        <v>96</v>
      </c>
      <c r="N483" t="s">
        <v>26</v>
      </c>
      <c r="O483">
        <v>108054.28</v>
      </c>
      <c r="P483">
        <v>89685.05</v>
      </c>
      <c r="Q483">
        <v>18369.23</v>
      </c>
      <c r="R483" t="s">
        <v>32</v>
      </c>
      <c r="S483">
        <f t="shared" si="21"/>
        <v>5</v>
      </c>
      <c r="T483" s="2">
        <f t="shared" si="22"/>
        <v>0.82999997778894097</v>
      </c>
      <c r="U483" s="2">
        <f t="shared" si="23"/>
        <v>0.17000002221105912</v>
      </c>
    </row>
    <row r="484" spans="1:21" x14ac:dyDescent="0.3">
      <c r="A484">
        <v>10483</v>
      </c>
      <c r="B484" t="s">
        <v>45</v>
      </c>
      <c r="C484" t="s">
        <v>46</v>
      </c>
      <c r="D484" t="s">
        <v>30</v>
      </c>
      <c r="E484">
        <v>45</v>
      </c>
      <c r="F484" t="s">
        <v>40</v>
      </c>
      <c r="G484" t="s">
        <v>47</v>
      </c>
      <c r="H484" t="s">
        <v>48</v>
      </c>
      <c r="I484" t="s">
        <v>49</v>
      </c>
      <c r="J484">
        <v>8</v>
      </c>
      <c r="K484" s="1">
        <v>45711</v>
      </c>
      <c r="L484" s="1">
        <v>45723</v>
      </c>
      <c r="M484" t="s">
        <v>85</v>
      </c>
      <c r="N484" t="s">
        <v>51</v>
      </c>
      <c r="O484">
        <v>118760.94</v>
      </c>
      <c r="P484">
        <v>99759.19</v>
      </c>
      <c r="Q484">
        <v>19001.75</v>
      </c>
      <c r="R484" t="s">
        <v>32</v>
      </c>
      <c r="S484">
        <f t="shared" si="21"/>
        <v>12</v>
      </c>
      <c r="T484" s="2">
        <f t="shared" si="22"/>
        <v>0.84000000336811076</v>
      </c>
      <c r="U484" s="2">
        <f t="shared" si="23"/>
        <v>0.15999999663188924</v>
      </c>
    </row>
    <row r="485" spans="1:21" x14ac:dyDescent="0.3">
      <c r="A485">
        <v>10484</v>
      </c>
      <c r="B485" t="s">
        <v>131</v>
      </c>
      <c r="C485" t="s">
        <v>132</v>
      </c>
      <c r="D485" t="s">
        <v>20</v>
      </c>
      <c r="E485">
        <v>68</v>
      </c>
      <c r="F485" t="s">
        <v>31</v>
      </c>
      <c r="G485" t="s">
        <v>22</v>
      </c>
      <c r="H485" t="s">
        <v>23</v>
      </c>
      <c r="I485" t="s">
        <v>24</v>
      </c>
      <c r="J485">
        <v>15</v>
      </c>
      <c r="K485" s="1">
        <v>45831</v>
      </c>
      <c r="L485" s="1">
        <v>45840</v>
      </c>
      <c r="M485" t="s">
        <v>25</v>
      </c>
      <c r="N485" t="s">
        <v>26</v>
      </c>
      <c r="O485">
        <v>242604.39</v>
      </c>
      <c r="P485">
        <v>206213.73</v>
      </c>
      <c r="Q485">
        <v>36390.660000000003</v>
      </c>
      <c r="R485" t="s">
        <v>32</v>
      </c>
      <c r="S485">
        <f t="shared" si="21"/>
        <v>9</v>
      </c>
      <c r="T485" s="2">
        <f t="shared" si="22"/>
        <v>0.84999999381709457</v>
      </c>
      <c r="U485" s="2">
        <f t="shared" si="23"/>
        <v>0.15000000618290543</v>
      </c>
    </row>
    <row r="486" spans="1:21" x14ac:dyDescent="0.3">
      <c r="A486">
        <v>10485</v>
      </c>
      <c r="B486" t="s">
        <v>97</v>
      </c>
      <c r="C486" t="s">
        <v>98</v>
      </c>
      <c r="D486" t="s">
        <v>20</v>
      </c>
      <c r="E486">
        <v>43</v>
      </c>
      <c r="F486" t="s">
        <v>69</v>
      </c>
      <c r="G486" t="s">
        <v>36</v>
      </c>
      <c r="H486" t="s">
        <v>37</v>
      </c>
      <c r="I486" t="s">
        <v>24</v>
      </c>
      <c r="J486">
        <v>12</v>
      </c>
      <c r="K486" s="1">
        <v>45696</v>
      </c>
      <c r="L486" s="1">
        <v>45700</v>
      </c>
      <c r="M486" t="s">
        <v>25</v>
      </c>
      <c r="N486" t="s">
        <v>26</v>
      </c>
      <c r="O486">
        <v>191451.44</v>
      </c>
      <c r="P486">
        <v>153161.15</v>
      </c>
      <c r="Q486">
        <v>38290.29</v>
      </c>
      <c r="R486" t="s">
        <v>32</v>
      </c>
      <c r="S486">
        <f t="shared" si="21"/>
        <v>4</v>
      </c>
      <c r="T486" s="2">
        <f t="shared" si="22"/>
        <v>0.79999998955348672</v>
      </c>
      <c r="U486" s="2">
        <f t="shared" si="23"/>
        <v>0.20000001044651322</v>
      </c>
    </row>
    <row r="487" spans="1:21" x14ac:dyDescent="0.3">
      <c r="A487">
        <v>10486</v>
      </c>
      <c r="B487" t="s">
        <v>104</v>
      </c>
      <c r="C487" t="s">
        <v>105</v>
      </c>
      <c r="D487" t="s">
        <v>30</v>
      </c>
      <c r="E487">
        <v>68</v>
      </c>
      <c r="F487" t="s">
        <v>21</v>
      </c>
      <c r="G487" t="s">
        <v>47</v>
      </c>
      <c r="H487" t="s">
        <v>48</v>
      </c>
      <c r="I487" t="s">
        <v>49</v>
      </c>
      <c r="J487">
        <v>8</v>
      </c>
      <c r="K487" s="1">
        <v>45993</v>
      </c>
      <c r="L487" s="1">
        <v>46006</v>
      </c>
      <c r="M487" t="s">
        <v>85</v>
      </c>
      <c r="N487" t="s">
        <v>26</v>
      </c>
      <c r="O487">
        <v>71772.399999999994</v>
      </c>
      <c r="P487">
        <v>54547.02</v>
      </c>
      <c r="Q487">
        <v>17225.38</v>
      </c>
      <c r="R487" t="s">
        <v>32</v>
      </c>
      <c r="S487">
        <f t="shared" si="21"/>
        <v>13</v>
      </c>
      <c r="T487" s="2">
        <f t="shared" si="22"/>
        <v>0.75999994426827022</v>
      </c>
      <c r="U487" s="2">
        <f t="shared" si="23"/>
        <v>0.24000005573172978</v>
      </c>
    </row>
    <row r="488" spans="1:21" x14ac:dyDescent="0.3">
      <c r="A488">
        <v>10487</v>
      </c>
      <c r="B488" t="s">
        <v>104</v>
      </c>
      <c r="C488" t="s">
        <v>105</v>
      </c>
      <c r="D488" t="s">
        <v>30</v>
      </c>
      <c r="E488">
        <v>68</v>
      </c>
      <c r="F488" t="s">
        <v>21</v>
      </c>
      <c r="G488" t="s">
        <v>55</v>
      </c>
      <c r="H488" t="s">
        <v>56</v>
      </c>
      <c r="I488" t="s">
        <v>49</v>
      </c>
      <c r="J488">
        <v>10</v>
      </c>
      <c r="K488" s="1">
        <v>45898</v>
      </c>
      <c r="L488" s="1">
        <v>45907</v>
      </c>
      <c r="M488" t="s">
        <v>101</v>
      </c>
      <c r="N488" t="s">
        <v>51</v>
      </c>
      <c r="O488">
        <v>40589.949999999997</v>
      </c>
      <c r="P488">
        <v>26383.47</v>
      </c>
      <c r="Q488">
        <v>14206.48</v>
      </c>
      <c r="R488" t="s">
        <v>27</v>
      </c>
      <c r="S488">
        <f t="shared" si="21"/>
        <v>9</v>
      </c>
      <c r="T488" s="2">
        <f t="shared" si="22"/>
        <v>0.65000006159160095</v>
      </c>
      <c r="U488" s="2">
        <f t="shared" si="23"/>
        <v>0.34999993840839916</v>
      </c>
    </row>
    <row r="489" spans="1:21" x14ac:dyDescent="0.3">
      <c r="A489">
        <v>10488</v>
      </c>
      <c r="B489" t="s">
        <v>139</v>
      </c>
      <c r="C489" t="s">
        <v>140</v>
      </c>
      <c r="D489" t="s">
        <v>20</v>
      </c>
      <c r="E489">
        <v>21</v>
      </c>
      <c r="F489" t="s">
        <v>119</v>
      </c>
      <c r="G489" t="s">
        <v>22</v>
      </c>
      <c r="H489" t="s">
        <v>23</v>
      </c>
      <c r="I489" t="s">
        <v>24</v>
      </c>
      <c r="J489">
        <v>15</v>
      </c>
      <c r="K489" s="1">
        <v>45920</v>
      </c>
      <c r="L489" s="1">
        <v>45924</v>
      </c>
      <c r="M489" t="s">
        <v>66</v>
      </c>
      <c r="N489" t="s">
        <v>26</v>
      </c>
      <c r="O489">
        <v>49467.11</v>
      </c>
      <c r="P489">
        <v>30669.61</v>
      </c>
      <c r="Q489">
        <v>18797.5</v>
      </c>
      <c r="R489" t="s">
        <v>32</v>
      </c>
      <c r="S489">
        <f t="shared" si="21"/>
        <v>4</v>
      </c>
      <c r="T489" s="2">
        <f t="shared" si="22"/>
        <v>0.62000003638781409</v>
      </c>
      <c r="U489" s="2">
        <f t="shared" si="23"/>
        <v>0.37999996361218596</v>
      </c>
    </row>
    <row r="490" spans="1:21" x14ac:dyDescent="0.3">
      <c r="A490">
        <v>10489</v>
      </c>
      <c r="B490" t="s">
        <v>18</v>
      </c>
      <c r="C490" t="s">
        <v>19</v>
      </c>
      <c r="D490" t="s">
        <v>20</v>
      </c>
      <c r="E490">
        <v>45</v>
      </c>
      <c r="F490" t="s">
        <v>21</v>
      </c>
      <c r="G490" t="s">
        <v>70</v>
      </c>
      <c r="H490" t="s">
        <v>71</v>
      </c>
      <c r="I490" t="s">
        <v>43</v>
      </c>
      <c r="J490">
        <v>11</v>
      </c>
      <c r="K490" s="1">
        <v>45744</v>
      </c>
      <c r="L490" s="1">
        <v>45748</v>
      </c>
      <c r="M490" t="s">
        <v>72</v>
      </c>
      <c r="N490" t="s">
        <v>51</v>
      </c>
      <c r="O490">
        <v>18261.95</v>
      </c>
      <c r="P490">
        <v>11322.41</v>
      </c>
      <c r="Q490">
        <v>6939.54</v>
      </c>
      <c r="R490" t="s">
        <v>32</v>
      </c>
      <c r="S490">
        <f t="shared" si="21"/>
        <v>4</v>
      </c>
      <c r="T490" s="2">
        <f t="shared" si="22"/>
        <v>0.62000005475866482</v>
      </c>
      <c r="U490" s="2">
        <f t="shared" si="23"/>
        <v>0.37999994524133512</v>
      </c>
    </row>
    <row r="491" spans="1:21" x14ac:dyDescent="0.3">
      <c r="A491">
        <v>10490</v>
      </c>
      <c r="B491" t="s">
        <v>125</v>
      </c>
      <c r="C491" t="s">
        <v>126</v>
      </c>
      <c r="D491" t="s">
        <v>30</v>
      </c>
      <c r="E491">
        <v>73</v>
      </c>
      <c r="F491" t="s">
        <v>21</v>
      </c>
      <c r="G491" t="s">
        <v>41</v>
      </c>
      <c r="H491" t="s">
        <v>42</v>
      </c>
      <c r="I491" t="s">
        <v>43</v>
      </c>
      <c r="J491">
        <v>9</v>
      </c>
      <c r="K491" s="1">
        <v>45943</v>
      </c>
      <c r="L491" s="1">
        <v>45946</v>
      </c>
      <c r="M491" t="s">
        <v>44</v>
      </c>
      <c r="N491" t="s">
        <v>26</v>
      </c>
      <c r="O491">
        <v>31068.94</v>
      </c>
      <c r="P491">
        <v>26408.6</v>
      </c>
      <c r="Q491">
        <v>4660.34</v>
      </c>
      <c r="R491" t="s">
        <v>27</v>
      </c>
      <c r="S491">
        <f t="shared" si="21"/>
        <v>3</v>
      </c>
      <c r="T491" s="2">
        <f t="shared" si="22"/>
        <v>0.8500000321864859</v>
      </c>
      <c r="U491" s="2">
        <f t="shared" si="23"/>
        <v>0.14999996781351407</v>
      </c>
    </row>
    <row r="492" spans="1:21" x14ac:dyDescent="0.3">
      <c r="A492">
        <v>10491</v>
      </c>
      <c r="B492" t="s">
        <v>135</v>
      </c>
      <c r="C492" t="s">
        <v>136</v>
      </c>
      <c r="D492" t="s">
        <v>30</v>
      </c>
      <c r="E492">
        <v>52</v>
      </c>
      <c r="F492" t="s">
        <v>35</v>
      </c>
      <c r="G492" t="s">
        <v>55</v>
      </c>
      <c r="H492" t="s">
        <v>56</v>
      </c>
      <c r="I492" t="s">
        <v>49</v>
      </c>
      <c r="J492">
        <v>10</v>
      </c>
      <c r="K492" s="1">
        <v>45745</v>
      </c>
      <c r="L492" s="1">
        <v>45748</v>
      </c>
      <c r="M492" t="s">
        <v>50</v>
      </c>
      <c r="N492" t="s">
        <v>26</v>
      </c>
      <c r="O492">
        <v>234686.48</v>
      </c>
      <c r="P492">
        <v>173668</v>
      </c>
      <c r="Q492">
        <v>61018.48</v>
      </c>
      <c r="R492" t="s">
        <v>32</v>
      </c>
      <c r="S492">
        <f t="shared" si="21"/>
        <v>3</v>
      </c>
      <c r="T492" s="2">
        <f t="shared" si="22"/>
        <v>0.74000002045281854</v>
      </c>
      <c r="U492" s="2">
        <f t="shared" si="23"/>
        <v>0.2599999795471814</v>
      </c>
    </row>
    <row r="493" spans="1:21" x14ac:dyDescent="0.3">
      <c r="A493">
        <v>10492</v>
      </c>
      <c r="B493" t="s">
        <v>86</v>
      </c>
      <c r="C493" t="s">
        <v>87</v>
      </c>
      <c r="D493" t="s">
        <v>30</v>
      </c>
      <c r="E493">
        <v>23</v>
      </c>
      <c r="F493" t="s">
        <v>31</v>
      </c>
      <c r="G493" t="s">
        <v>55</v>
      </c>
      <c r="H493" t="s">
        <v>56</v>
      </c>
      <c r="I493" t="s">
        <v>49</v>
      </c>
      <c r="J493">
        <v>10</v>
      </c>
      <c r="K493" s="1">
        <v>45948</v>
      </c>
      <c r="L493" s="1">
        <v>45962</v>
      </c>
      <c r="M493" t="s">
        <v>85</v>
      </c>
      <c r="N493" t="s">
        <v>26</v>
      </c>
      <c r="O493">
        <v>113540.89</v>
      </c>
      <c r="P493">
        <v>80614.03</v>
      </c>
      <c r="Q493">
        <v>32926.86</v>
      </c>
      <c r="R493" t="s">
        <v>32</v>
      </c>
      <c r="S493">
        <f t="shared" si="21"/>
        <v>14</v>
      </c>
      <c r="T493" s="2">
        <f t="shared" si="22"/>
        <v>0.7099999832659406</v>
      </c>
      <c r="U493" s="2">
        <f t="shared" si="23"/>
        <v>0.29000001673405945</v>
      </c>
    </row>
    <row r="494" spans="1:21" x14ac:dyDescent="0.3">
      <c r="A494">
        <v>10493</v>
      </c>
      <c r="B494" t="s">
        <v>18</v>
      </c>
      <c r="C494" t="s">
        <v>19</v>
      </c>
      <c r="D494" t="s">
        <v>20</v>
      </c>
      <c r="E494">
        <v>45</v>
      </c>
      <c r="F494" t="s">
        <v>21</v>
      </c>
      <c r="G494" t="s">
        <v>22</v>
      </c>
      <c r="H494" t="s">
        <v>23</v>
      </c>
      <c r="I494" t="s">
        <v>24</v>
      </c>
      <c r="J494">
        <v>15</v>
      </c>
      <c r="K494" s="1">
        <v>45735</v>
      </c>
      <c r="L494" s="1">
        <v>45747</v>
      </c>
      <c r="M494" t="s">
        <v>25</v>
      </c>
      <c r="N494" t="s">
        <v>26</v>
      </c>
      <c r="O494">
        <v>202824.45</v>
      </c>
      <c r="P494">
        <v>168344.29</v>
      </c>
      <c r="Q494">
        <v>34480.160000000003</v>
      </c>
      <c r="R494" t="s">
        <v>32</v>
      </c>
      <c r="S494">
        <f t="shared" si="21"/>
        <v>12</v>
      </c>
      <c r="T494" s="2">
        <f t="shared" si="22"/>
        <v>0.8299999827436978</v>
      </c>
      <c r="U494" s="2">
        <f t="shared" si="23"/>
        <v>0.1700000172563022</v>
      </c>
    </row>
    <row r="495" spans="1:21" x14ac:dyDescent="0.3">
      <c r="A495">
        <v>10494</v>
      </c>
      <c r="B495" t="s">
        <v>139</v>
      </c>
      <c r="C495" t="s">
        <v>140</v>
      </c>
      <c r="D495" t="s">
        <v>20</v>
      </c>
      <c r="E495">
        <v>21</v>
      </c>
      <c r="F495" t="s">
        <v>119</v>
      </c>
      <c r="G495" t="s">
        <v>36</v>
      </c>
      <c r="H495" t="s">
        <v>37</v>
      </c>
      <c r="I495" t="s">
        <v>24</v>
      </c>
      <c r="J495">
        <v>12</v>
      </c>
      <c r="K495" s="1">
        <v>45891</v>
      </c>
      <c r="L495" s="1">
        <v>45899</v>
      </c>
      <c r="M495" t="s">
        <v>66</v>
      </c>
      <c r="N495" t="s">
        <v>26</v>
      </c>
      <c r="O495">
        <v>46317.49</v>
      </c>
      <c r="P495">
        <v>34274.94</v>
      </c>
      <c r="Q495">
        <v>12042.55</v>
      </c>
      <c r="R495" t="s">
        <v>32</v>
      </c>
      <c r="S495">
        <f t="shared" si="21"/>
        <v>8</v>
      </c>
      <c r="T495" s="2">
        <f t="shared" si="22"/>
        <v>0.73999994386569745</v>
      </c>
      <c r="U495" s="2">
        <f t="shared" si="23"/>
        <v>0.2600000561343026</v>
      </c>
    </row>
    <row r="496" spans="1:21" x14ac:dyDescent="0.3">
      <c r="A496">
        <v>10495</v>
      </c>
      <c r="B496" t="s">
        <v>57</v>
      </c>
      <c r="C496" t="s">
        <v>58</v>
      </c>
      <c r="D496" t="s">
        <v>20</v>
      </c>
      <c r="E496">
        <v>45</v>
      </c>
      <c r="F496" t="s">
        <v>59</v>
      </c>
      <c r="G496" t="s">
        <v>36</v>
      </c>
      <c r="H496" t="s">
        <v>37</v>
      </c>
      <c r="I496" t="s">
        <v>24</v>
      </c>
      <c r="J496">
        <v>12</v>
      </c>
      <c r="K496" s="1">
        <v>45672</v>
      </c>
      <c r="L496" s="1">
        <v>45677</v>
      </c>
      <c r="M496" t="s">
        <v>76</v>
      </c>
      <c r="N496" t="s">
        <v>26</v>
      </c>
      <c r="O496">
        <v>406818.91</v>
      </c>
      <c r="P496">
        <v>288841.43</v>
      </c>
      <c r="Q496">
        <v>117977.48</v>
      </c>
      <c r="R496" t="s">
        <v>32</v>
      </c>
      <c r="S496">
        <f t="shared" si="21"/>
        <v>5</v>
      </c>
      <c r="T496" s="2">
        <f t="shared" si="22"/>
        <v>0.71000000958657505</v>
      </c>
      <c r="U496" s="2">
        <f t="shared" si="23"/>
        <v>0.289999990413425</v>
      </c>
    </row>
    <row r="497" spans="1:21" x14ac:dyDescent="0.3">
      <c r="A497">
        <v>10496</v>
      </c>
      <c r="B497" t="s">
        <v>158</v>
      </c>
      <c r="C497" t="s">
        <v>159</v>
      </c>
      <c r="D497" t="s">
        <v>30</v>
      </c>
      <c r="E497">
        <v>18</v>
      </c>
      <c r="F497" t="s">
        <v>35</v>
      </c>
      <c r="G497" t="s">
        <v>22</v>
      </c>
      <c r="H497" t="s">
        <v>23</v>
      </c>
      <c r="I497" t="s">
        <v>24</v>
      </c>
      <c r="J497">
        <v>15</v>
      </c>
      <c r="K497" s="1">
        <v>45998</v>
      </c>
      <c r="L497" s="1">
        <v>46003</v>
      </c>
      <c r="M497" t="s">
        <v>76</v>
      </c>
      <c r="N497" t="s">
        <v>26</v>
      </c>
      <c r="O497">
        <v>432389.66</v>
      </c>
      <c r="P497">
        <v>259433.8</v>
      </c>
      <c r="Q497">
        <v>172955.86</v>
      </c>
      <c r="R497" t="s">
        <v>32</v>
      </c>
      <c r="S497">
        <f t="shared" si="21"/>
        <v>5</v>
      </c>
      <c r="T497" s="2">
        <f t="shared" si="22"/>
        <v>0.60000000925091501</v>
      </c>
      <c r="U497" s="2">
        <f t="shared" si="23"/>
        <v>0.39999999074908499</v>
      </c>
    </row>
    <row r="498" spans="1:21" x14ac:dyDescent="0.3">
      <c r="A498">
        <v>10497</v>
      </c>
      <c r="B498" t="s">
        <v>156</v>
      </c>
      <c r="C498" t="s">
        <v>157</v>
      </c>
      <c r="D498" t="s">
        <v>30</v>
      </c>
      <c r="E498">
        <v>47</v>
      </c>
      <c r="F498" t="s">
        <v>40</v>
      </c>
      <c r="G498" t="s">
        <v>36</v>
      </c>
      <c r="H498" t="s">
        <v>37</v>
      </c>
      <c r="I498" t="s">
        <v>24</v>
      </c>
      <c r="J498">
        <v>12</v>
      </c>
      <c r="K498" s="1">
        <v>45668</v>
      </c>
      <c r="L498" s="1">
        <v>45670</v>
      </c>
      <c r="M498" t="s">
        <v>66</v>
      </c>
      <c r="N498" t="s">
        <v>26</v>
      </c>
      <c r="O498">
        <v>33045.54</v>
      </c>
      <c r="P498">
        <v>26766.89</v>
      </c>
      <c r="Q498">
        <v>6278.65</v>
      </c>
      <c r="R498" t="s">
        <v>27</v>
      </c>
      <c r="S498">
        <f t="shared" si="21"/>
        <v>2</v>
      </c>
      <c r="T498" s="2">
        <f t="shared" si="22"/>
        <v>0.81000007867930135</v>
      </c>
      <c r="U498" s="2">
        <f t="shared" si="23"/>
        <v>0.18999992132069862</v>
      </c>
    </row>
    <row r="499" spans="1:21" x14ac:dyDescent="0.3">
      <c r="A499">
        <v>10498</v>
      </c>
      <c r="B499" t="s">
        <v>52</v>
      </c>
      <c r="C499" t="s">
        <v>53</v>
      </c>
      <c r="D499" t="s">
        <v>20</v>
      </c>
      <c r="E499">
        <v>49</v>
      </c>
      <c r="F499" t="s">
        <v>54</v>
      </c>
      <c r="G499" t="s">
        <v>70</v>
      </c>
      <c r="H499" t="s">
        <v>71</v>
      </c>
      <c r="I499" t="s">
        <v>43</v>
      </c>
      <c r="J499">
        <v>11</v>
      </c>
      <c r="K499" s="1">
        <v>45693</v>
      </c>
      <c r="L499" s="1">
        <v>45700</v>
      </c>
      <c r="M499" t="s">
        <v>112</v>
      </c>
      <c r="N499" t="s">
        <v>26</v>
      </c>
      <c r="O499">
        <v>67313.14</v>
      </c>
      <c r="P499">
        <v>57216.17</v>
      </c>
      <c r="Q499">
        <v>10096.969999999999</v>
      </c>
      <c r="R499" t="s">
        <v>32</v>
      </c>
      <c r="S499">
        <f t="shared" si="21"/>
        <v>7</v>
      </c>
      <c r="T499" s="2">
        <f t="shared" si="22"/>
        <v>0.85000001485594046</v>
      </c>
      <c r="U499" s="2">
        <f t="shared" si="23"/>
        <v>0.14999998514405954</v>
      </c>
    </row>
    <row r="500" spans="1:21" x14ac:dyDescent="0.3">
      <c r="A500">
        <v>10499</v>
      </c>
      <c r="B500" t="s">
        <v>18</v>
      </c>
      <c r="C500" t="s">
        <v>19</v>
      </c>
      <c r="D500" t="s">
        <v>20</v>
      </c>
      <c r="E500">
        <v>45</v>
      </c>
      <c r="F500" t="s">
        <v>21</v>
      </c>
      <c r="G500" t="s">
        <v>22</v>
      </c>
      <c r="H500" t="s">
        <v>23</v>
      </c>
      <c r="I500" t="s">
        <v>24</v>
      </c>
      <c r="J500">
        <v>15</v>
      </c>
      <c r="K500" s="1">
        <v>45758</v>
      </c>
      <c r="L500" s="1">
        <v>45768</v>
      </c>
      <c r="M500" t="s">
        <v>76</v>
      </c>
      <c r="N500" t="s">
        <v>51</v>
      </c>
      <c r="O500">
        <v>335385.15999999997</v>
      </c>
      <c r="P500">
        <v>214646.5</v>
      </c>
      <c r="Q500">
        <v>120738.66</v>
      </c>
      <c r="R500" t="s">
        <v>32</v>
      </c>
      <c r="S500">
        <f t="shared" si="21"/>
        <v>10</v>
      </c>
      <c r="T500" s="2">
        <f t="shared" si="22"/>
        <v>0.6399999928440484</v>
      </c>
      <c r="U500" s="2">
        <f t="shared" si="23"/>
        <v>0.36000000715595171</v>
      </c>
    </row>
    <row r="501" spans="1:21" x14ac:dyDescent="0.3">
      <c r="A501">
        <v>10500</v>
      </c>
      <c r="B501" t="s">
        <v>73</v>
      </c>
      <c r="C501" t="s">
        <v>74</v>
      </c>
      <c r="D501" t="s">
        <v>20</v>
      </c>
      <c r="E501">
        <v>53</v>
      </c>
      <c r="F501" t="s">
        <v>75</v>
      </c>
      <c r="G501" t="s">
        <v>60</v>
      </c>
      <c r="H501" t="s">
        <v>61</v>
      </c>
      <c r="I501" t="s">
        <v>62</v>
      </c>
      <c r="J501">
        <v>18</v>
      </c>
      <c r="K501" s="1">
        <v>45881</v>
      </c>
      <c r="L501" s="1">
        <v>45888</v>
      </c>
      <c r="M501" t="s">
        <v>77</v>
      </c>
      <c r="N501" t="s">
        <v>26</v>
      </c>
      <c r="O501">
        <v>30992.65</v>
      </c>
      <c r="P501">
        <v>20455.150000000001</v>
      </c>
      <c r="Q501">
        <v>10537.5</v>
      </c>
      <c r="R501" t="s">
        <v>27</v>
      </c>
      <c r="S501">
        <f t="shared" si="21"/>
        <v>7</v>
      </c>
      <c r="T501" s="2">
        <f t="shared" si="22"/>
        <v>0.66000003226571458</v>
      </c>
      <c r="U501" s="2">
        <f t="shared" si="23"/>
        <v>0.33999996773428537</v>
      </c>
    </row>
    <row r="502" spans="1:21" x14ac:dyDescent="0.3">
      <c r="A502">
        <v>10501</v>
      </c>
      <c r="B502" t="s">
        <v>141</v>
      </c>
      <c r="C502" t="s">
        <v>142</v>
      </c>
      <c r="D502" t="s">
        <v>30</v>
      </c>
      <c r="E502">
        <v>47</v>
      </c>
      <c r="F502" t="s">
        <v>54</v>
      </c>
      <c r="G502" t="s">
        <v>55</v>
      </c>
      <c r="H502" t="s">
        <v>56</v>
      </c>
      <c r="I502" t="s">
        <v>49</v>
      </c>
      <c r="J502">
        <v>10</v>
      </c>
      <c r="K502" s="1">
        <v>45809</v>
      </c>
      <c r="L502" s="1">
        <v>45823</v>
      </c>
      <c r="M502" t="s">
        <v>50</v>
      </c>
      <c r="N502" t="s">
        <v>26</v>
      </c>
      <c r="O502">
        <v>310313.21000000002</v>
      </c>
      <c r="P502">
        <v>217219.25</v>
      </c>
      <c r="Q502">
        <v>93093.96</v>
      </c>
      <c r="R502" t="s">
        <v>32</v>
      </c>
      <c r="S502">
        <f t="shared" si="21"/>
        <v>14</v>
      </c>
      <c r="T502" s="2">
        <f t="shared" si="22"/>
        <v>0.70000000966765152</v>
      </c>
      <c r="U502" s="2">
        <f t="shared" si="23"/>
        <v>0.29999999033234842</v>
      </c>
    </row>
    <row r="503" spans="1:21" x14ac:dyDescent="0.3">
      <c r="A503">
        <v>10502</v>
      </c>
      <c r="B503" t="s">
        <v>125</v>
      </c>
      <c r="C503" t="s">
        <v>126</v>
      </c>
      <c r="D503" t="s">
        <v>30</v>
      </c>
      <c r="E503">
        <v>73</v>
      </c>
      <c r="F503" t="s">
        <v>21</v>
      </c>
      <c r="G503" t="s">
        <v>47</v>
      </c>
      <c r="H503" t="s">
        <v>48</v>
      </c>
      <c r="I503" t="s">
        <v>49</v>
      </c>
      <c r="J503">
        <v>8</v>
      </c>
      <c r="K503" s="1">
        <v>45721</v>
      </c>
      <c r="L503" s="1">
        <v>45734</v>
      </c>
      <c r="M503" t="s">
        <v>50</v>
      </c>
      <c r="N503" t="s">
        <v>26</v>
      </c>
      <c r="O503">
        <v>228577.72</v>
      </c>
      <c r="P503">
        <v>157718.63</v>
      </c>
      <c r="Q503">
        <v>70859.09</v>
      </c>
      <c r="R503" t="s">
        <v>32</v>
      </c>
      <c r="S503">
        <f t="shared" si="21"/>
        <v>13</v>
      </c>
      <c r="T503" s="2">
        <f t="shared" si="22"/>
        <v>0.69000001399961464</v>
      </c>
      <c r="U503" s="2">
        <f t="shared" si="23"/>
        <v>0.30999998600038531</v>
      </c>
    </row>
    <row r="504" spans="1:21" x14ac:dyDescent="0.3">
      <c r="A504">
        <v>10503</v>
      </c>
      <c r="B504" t="s">
        <v>52</v>
      </c>
      <c r="C504" t="s">
        <v>53</v>
      </c>
      <c r="D504" t="s">
        <v>20</v>
      </c>
      <c r="E504">
        <v>49</v>
      </c>
      <c r="F504" t="s">
        <v>54</v>
      </c>
      <c r="G504" t="s">
        <v>60</v>
      </c>
      <c r="H504" t="s">
        <v>61</v>
      </c>
      <c r="I504" t="s">
        <v>62</v>
      </c>
      <c r="J504">
        <v>18</v>
      </c>
      <c r="K504" s="1">
        <v>45973</v>
      </c>
      <c r="L504" s="1">
        <v>45976</v>
      </c>
      <c r="M504" t="s">
        <v>77</v>
      </c>
      <c r="N504" t="s">
        <v>26</v>
      </c>
      <c r="O504">
        <v>55955.45</v>
      </c>
      <c r="P504">
        <v>39728.370000000003</v>
      </c>
      <c r="Q504">
        <v>16227.08</v>
      </c>
      <c r="R504" t="s">
        <v>32</v>
      </c>
      <c r="S504">
        <f t="shared" si="21"/>
        <v>3</v>
      </c>
      <c r="T504" s="2">
        <f t="shared" si="22"/>
        <v>0.71000000893568016</v>
      </c>
      <c r="U504" s="2">
        <f t="shared" si="23"/>
        <v>0.28999999106431995</v>
      </c>
    </row>
    <row r="505" spans="1:21" x14ac:dyDescent="0.3">
      <c r="A505">
        <v>10504</v>
      </c>
      <c r="B505" t="s">
        <v>150</v>
      </c>
      <c r="C505" t="s">
        <v>151</v>
      </c>
      <c r="D505" t="s">
        <v>30</v>
      </c>
      <c r="E505">
        <v>47</v>
      </c>
      <c r="F505" t="s">
        <v>54</v>
      </c>
      <c r="G505" t="s">
        <v>22</v>
      </c>
      <c r="H505" t="s">
        <v>23</v>
      </c>
      <c r="I505" t="s">
        <v>24</v>
      </c>
      <c r="J505">
        <v>15</v>
      </c>
      <c r="K505" s="1">
        <v>45806</v>
      </c>
      <c r="L505" s="1">
        <v>45810</v>
      </c>
      <c r="M505" t="s">
        <v>25</v>
      </c>
      <c r="N505" t="s">
        <v>26</v>
      </c>
      <c r="O505">
        <v>91656.25</v>
      </c>
      <c r="P505">
        <v>55910.31</v>
      </c>
      <c r="Q505">
        <v>35745.94</v>
      </c>
      <c r="R505" t="s">
        <v>32</v>
      </c>
      <c r="S505">
        <f t="shared" si="21"/>
        <v>4</v>
      </c>
      <c r="T505" s="2">
        <f t="shared" si="22"/>
        <v>0.60999997272417317</v>
      </c>
      <c r="U505" s="2">
        <f t="shared" si="23"/>
        <v>0.39000002727582683</v>
      </c>
    </row>
    <row r="506" spans="1:21" x14ac:dyDescent="0.3">
      <c r="A506">
        <v>10505</v>
      </c>
      <c r="B506" t="s">
        <v>127</v>
      </c>
      <c r="C506" t="s">
        <v>128</v>
      </c>
      <c r="D506" t="s">
        <v>20</v>
      </c>
      <c r="E506">
        <v>41</v>
      </c>
      <c r="F506" t="s">
        <v>54</v>
      </c>
      <c r="G506" t="s">
        <v>70</v>
      </c>
      <c r="H506" t="s">
        <v>71</v>
      </c>
      <c r="I506" t="s">
        <v>43</v>
      </c>
      <c r="J506">
        <v>11</v>
      </c>
      <c r="K506" s="1">
        <v>45904</v>
      </c>
      <c r="L506" s="1">
        <v>45913</v>
      </c>
      <c r="M506" t="s">
        <v>44</v>
      </c>
      <c r="N506" t="s">
        <v>26</v>
      </c>
      <c r="O506">
        <v>29076.47</v>
      </c>
      <c r="P506">
        <v>18318.18</v>
      </c>
      <c r="Q506">
        <v>10758.29</v>
      </c>
      <c r="R506" t="s">
        <v>32</v>
      </c>
      <c r="S506">
        <f t="shared" si="21"/>
        <v>9</v>
      </c>
      <c r="T506" s="2">
        <f t="shared" si="22"/>
        <v>0.63000013412907407</v>
      </c>
      <c r="U506" s="2">
        <f t="shared" si="23"/>
        <v>0.36999986587092587</v>
      </c>
    </row>
    <row r="507" spans="1:21" x14ac:dyDescent="0.3">
      <c r="A507">
        <v>10506</v>
      </c>
      <c r="B507" t="s">
        <v>129</v>
      </c>
      <c r="C507" t="s">
        <v>130</v>
      </c>
      <c r="D507" t="s">
        <v>30</v>
      </c>
      <c r="E507">
        <v>28</v>
      </c>
      <c r="F507" t="s">
        <v>35</v>
      </c>
      <c r="G507" t="s">
        <v>36</v>
      </c>
      <c r="H507" t="s">
        <v>37</v>
      </c>
      <c r="I507" t="s">
        <v>24</v>
      </c>
      <c r="J507">
        <v>12</v>
      </c>
      <c r="K507" s="1">
        <v>45777</v>
      </c>
      <c r="L507" s="1">
        <v>45784</v>
      </c>
      <c r="M507" t="s">
        <v>66</v>
      </c>
      <c r="N507" t="s">
        <v>26</v>
      </c>
      <c r="O507">
        <v>36291.269999999997</v>
      </c>
      <c r="P507">
        <v>26492.63</v>
      </c>
      <c r="Q507">
        <v>9798.64</v>
      </c>
      <c r="R507" t="s">
        <v>32</v>
      </c>
      <c r="S507">
        <f t="shared" si="21"/>
        <v>7</v>
      </c>
      <c r="T507" s="2">
        <f t="shared" si="22"/>
        <v>0.73000007990902505</v>
      </c>
      <c r="U507" s="2">
        <f t="shared" si="23"/>
        <v>0.26999992009097507</v>
      </c>
    </row>
    <row r="508" spans="1:21" x14ac:dyDescent="0.3">
      <c r="A508">
        <v>10507</v>
      </c>
      <c r="B508" t="s">
        <v>104</v>
      </c>
      <c r="C508" t="s">
        <v>105</v>
      </c>
      <c r="D508" t="s">
        <v>30</v>
      </c>
      <c r="E508">
        <v>68</v>
      </c>
      <c r="F508" t="s">
        <v>21</v>
      </c>
      <c r="G508" t="s">
        <v>88</v>
      </c>
      <c r="H508" t="s">
        <v>89</v>
      </c>
      <c r="I508" t="s">
        <v>62</v>
      </c>
      <c r="J508">
        <v>14</v>
      </c>
      <c r="K508" s="1">
        <v>45762</v>
      </c>
      <c r="L508" s="1">
        <v>45775</v>
      </c>
      <c r="M508" t="s">
        <v>77</v>
      </c>
      <c r="N508" t="s">
        <v>26</v>
      </c>
      <c r="O508">
        <v>82475.39</v>
      </c>
      <c r="P508">
        <v>53609</v>
      </c>
      <c r="Q508">
        <v>28866.39</v>
      </c>
      <c r="R508" t="s">
        <v>32</v>
      </c>
      <c r="S508">
        <f t="shared" si="21"/>
        <v>13</v>
      </c>
      <c r="T508" s="2">
        <f t="shared" si="22"/>
        <v>0.64999995756309847</v>
      </c>
      <c r="U508" s="2">
        <f t="shared" si="23"/>
        <v>0.35000004243690147</v>
      </c>
    </row>
    <row r="509" spans="1:21" x14ac:dyDescent="0.3">
      <c r="A509">
        <v>10508</v>
      </c>
      <c r="B509" t="s">
        <v>94</v>
      </c>
      <c r="C509" t="s">
        <v>95</v>
      </c>
      <c r="D509" t="s">
        <v>30</v>
      </c>
      <c r="E509">
        <v>66</v>
      </c>
      <c r="F509" t="s">
        <v>54</v>
      </c>
      <c r="G509" t="s">
        <v>70</v>
      </c>
      <c r="H509" t="s">
        <v>71</v>
      </c>
      <c r="I509" t="s">
        <v>43</v>
      </c>
      <c r="J509">
        <v>11</v>
      </c>
      <c r="K509" s="1">
        <v>45895</v>
      </c>
      <c r="L509" s="1">
        <v>45904</v>
      </c>
      <c r="M509" t="s">
        <v>72</v>
      </c>
      <c r="N509" t="s">
        <v>26</v>
      </c>
      <c r="O509">
        <v>18821.189999999999</v>
      </c>
      <c r="P509">
        <v>12986.62</v>
      </c>
      <c r="Q509">
        <v>5834.57</v>
      </c>
      <c r="R509" t="s">
        <v>32</v>
      </c>
      <c r="S509">
        <f t="shared" si="21"/>
        <v>9</v>
      </c>
      <c r="T509" s="2">
        <f t="shared" si="22"/>
        <v>0.68999994155523647</v>
      </c>
      <c r="U509" s="2">
        <f t="shared" si="23"/>
        <v>0.31000005844476358</v>
      </c>
    </row>
    <row r="510" spans="1:21" x14ac:dyDescent="0.3">
      <c r="A510">
        <v>10509</v>
      </c>
      <c r="B510" t="s">
        <v>18</v>
      </c>
      <c r="C510" t="s">
        <v>19</v>
      </c>
      <c r="D510" t="s">
        <v>20</v>
      </c>
      <c r="E510">
        <v>45</v>
      </c>
      <c r="F510" t="s">
        <v>21</v>
      </c>
      <c r="G510" t="s">
        <v>47</v>
      </c>
      <c r="H510" t="s">
        <v>48</v>
      </c>
      <c r="I510" t="s">
        <v>49</v>
      </c>
      <c r="J510">
        <v>8</v>
      </c>
      <c r="K510" s="1">
        <v>45957</v>
      </c>
      <c r="L510" s="1">
        <v>45962</v>
      </c>
      <c r="M510" t="s">
        <v>101</v>
      </c>
      <c r="N510" t="s">
        <v>26</v>
      </c>
      <c r="O510">
        <v>55312.15</v>
      </c>
      <c r="P510">
        <v>36506.019999999997</v>
      </c>
      <c r="Q510">
        <v>18806.13</v>
      </c>
      <c r="R510" t="s">
        <v>32</v>
      </c>
      <c r="S510">
        <f t="shared" si="21"/>
        <v>5</v>
      </c>
      <c r="T510" s="2">
        <f t="shared" si="22"/>
        <v>0.66000001807921038</v>
      </c>
      <c r="U510" s="2">
        <f t="shared" si="23"/>
        <v>0.33999998192078956</v>
      </c>
    </row>
    <row r="511" spans="1:21" x14ac:dyDescent="0.3">
      <c r="A511">
        <v>10510</v>
      </c>
      <c r="B511" t="s">
        <v>131</v>
      </c>
      <c r="C511" t="s">
        <v>132</v>
      </c>
      <c r="D511" t="s">
        <v>20</v>
      </c>
      <c r="E511">
        <v>68</v>
      </c>
      <c r="F511" t="s">
        <v>31</v>
      </c>
      <c r="G511" t="s">
        <v>36</v>
      </c>
      <c r="H511" t="s">
        <v>37</v>
      </c>
      <c r="I511" t="s">
        <v>24</v>
      </c>
      <c r="J511">
        <v>12</v>
      </c>
      <c r="K511" s="1">
        <v>45699</v>
      </c>
      <c r="L511" s="1">
        <v>45707</v>
      </c>
      <c r="M511" t="s">
        <v>25</v>
      </c>
      <c r="N511" t="s">
        <v>26</v>
      </c>
      <c r="O511">
        <v>221915.05</v>
      </c>
      <c r="P511">
        <v>150902.23000000001</v>
      </c>
      <c r="Q511">
        <v>71012.820000000007</v>
      </c>
      <c r="R511" t="s">
        <v>27</v>
      </c>
      <c r="S511">
        <f t="shared" si="21"/>
        <v>8</v>
      </c>
      <c r="T511" s="2">
        <f t="shared" si="22"/>
        <v>0.67999998197508471</v>
      </c>
      <c r="U511" s="2">
        <f t="shared" si="23"/>
        <v>0.32000001802491546</v>
      </c>
    </row>
    <row r="512" spans="1:21" x14ac:dyDescent="0.3">
      <c r="A512">
        <v>10511</v>
      </c>
      <c r="B512" t="s">
        <v>146</v>
      </c>
      <c r="C512" t="s">
        <v>147</v>
      </c>
      <c r="D512" t="s">
        <v>30</v>
      </c>
      <c r="E512">
        <v>75</v>
      </c>
      <c r="F512" t="s">
        <v>84</v>
      </c>
      <c r="G512" t="s">
        <v>22</v>
      </c>
      <c r="H512" t="s">
        <v>23</v>
      </c>
      <c r="I512" t="s">
        <v>24</v>
      </c>
      <c r="J512">
        <v>15</v>
      </c>
      <c r="K512" s="1">
        <v>45850</v>
      </c>
      <c r="L512" s="1">
        <v>45853</v>
      </c>
      <c r="M512" t="s">
        <v>66</v>
      </c>
      <c r="N512" t="s">
        <v>26</v>
      </c>
      <c r="O512">
        <v>48547.28</v>
      </c>
      <c r="P512">
        <v>32526.68</v>
      </c>
      <c r="Q512">
        <v>16020.6</v>
      </c>
      <c r="R512" t="s">
        <v>32</v>
      </c>
      <c r="S512">
        <f t="shared" si="21"/>
        <v>3</v>
      </c>
      <c r="T512" s="2">
        <f t="shared" si="22"/>
        <v>0.67000004943634328</v>
      </c>
      <c r="U512" s="2">
        <f t="shared" si="23"/>
        <v>0.32999995056365672</v>
      </c>
    </row>
    <row r="513" spans="1:21" x14ac:dyDescent="0.3">
      <c r="A513">
        <v>10512</v>
      </c>
      <c r="B513" t="s">
        <v>148</v>
      </c>
      <c r="C513" t="s">
        <v>149</v>
      </c>
      <c r="D513" t="s">
        <v>30</v>
      </c>
      <c r="E513">
        <v>19</v>
      </c>
      <c r="F513" t="s">
        <v>21</v>
      </c>
      <c r="G513" t="s">
        <v>88</v>
      </c>
      <c r="H513" t="s">
        <v>89</v>
      </c>
      <c r="I513" t="s">
        <v>62</v>
      </c>
      <c r="J513">
        <v>14</v>
      </c>
      <c r="K513" s="1">
        <v>45900</v>
      </c>
      <c r="L513" s="1">
        <v>45912</v>
      </c>
      <c r="M513" t="s">
        <v>77</v>
      </c>
      <c r="N513" t="s">
        <v>26</v>
      </c>
      <c r="O513">
        <v>94168.85</v>
      </c>
      <c r="P513">
        <v>64976.51</v>
      </c>
      <c r="Q513">
        <v>29192.34</v>
      </c>
      <c r="R513" t="s">
        <v>32</v>
      </c>
      <c r="S513">
        <f t="shared" si="21"/>
        <v>12</v>
      </c>
      <c r="T513" s="2">
        <f t="shared" si="22"/>
        <v>0.69000003716727987</v>
      </c>
      <c r="U513" s="2">
        <f t="shared" si="23"/>
        <v>0.30999996283272013</v>
      </c>
    </row>
    <row r="514" spans="1:21" x14ac:dyDescent="0.3">
      <c r="A514">
        <v>10513</v>
      </c>
      <c r="B514" t="s">
        <v>129</v>
      </c>
      <c r="C514" t="s">
        <v>130</v>
      </c>
      <c r="D514" t="s">
        <v>30</v>
      </c>
      <c r="E514">
        <v>28</v>
      </c>
      <c r="F514" t="s">
        <v>35</v>
      </c>
      <c r="G514" t="s">
        <v>60</v>
      </c>
      <c r="H514" t="s">
        <v>61</v>
      </c>
      <c r="I514" t="s">
        <v>62</v>
      </c>
      <c r="J514">
        <v>18</v>
      </c>
      <c r="K514" s="1">
        <v>45980</v>
      </c>
      <c r="L514" s="1">
        <v>45983</v>
      </c>
      <c r="M514" t="s">
        <v>63</v>
      </c>
      <c r="N514" t="s">
        <v>26</v>
      </c>
      <c r="O514">
        <v>24873.97</v>
      </c>
      <c r="P514">
        <v>18406.740000000002</v>
      </c>
      <c r="Q514">
        <v>6467.23</v>
      </c>
      <c r="R514" t="s">
        <v>32</v>
      </c>
      <c r="S514">
        <f t="shared" si="21"/>
        <v>3</v>
      </c>
      <c r="T514" s="2">
        <f t="shared" si="22"/>
        <v>0.74000008844587339</v>
      </c>
      <c r="U514" s="2">
        <f t="shared" si="23"/>
        <v>0.25999991155412661</v>
      </c>
    </row>
    <row r="515" spans="1:21" x14ac:dyDescent="0.3">
      <c r="A515">
        <v>10514</v>
      </c>
      <c r="B515" t="s">
        <v>125</v>
      </c>
      <c r="C515" t="s">
        <v>126</v>
      </c>
      <c r="D515" t="s">
        <v>30</v>
      </c>
      <c r="E515">
        <v>73</v>
      </c>
      <c r="F515" t="s">
        <v>21</v>
      </c>
      <c r="G515" t="s">
        <v>88</v>
      </c>
      <c r="H515" t="s">
        <v>89</v>
      </c>
      <c r="I515" t="s">
        <v>62</v>
      </c>
      <c r="J515">
        <v>14</v>
      </c>
      <c r="K515" s="1">
        <v>45899</v>
      </c>
      <c r="L515" s="1">
        <v>45907</v>
      </c>
      <c r="M515" t="s">
        <v>96</v>
      </c>
      <c r="N515" t="s">
        <v>26</v>
      </c>
      <c r="O515">
        <v>155551.14000000001</v>
      </c>
      <c r="P515">
        <v>99552.73</v>
      </c>
      <c r="Q515">
        <v>55998.41</v>
      </c>
      <c r="R515" t="s">
        <v>27</v>
      </c>
      <c r="S515">
        <f t="shared" ref="S515:S578" si="24">L515-K515</f>
        <v>8</v>
      </c>
      <c r="T515" s="2">
        <f t="shared" ref="T515:T578" si="25">P515/O515</f>
        <v>0.64000000257150147</v>
      </c>
      <c r="U515" s="2">
        <f t="shared" ref="U515:U578" si="26">Q515/O515</f>
        <v>0.35999999742849842</v>
      </c>
    </row>
    <row r="516" spans="1:21" x14ac:dyDescent="0.3">
      <c r="A516">
        <v>10515</v>
      </c>
      <c r="B516" t="s">
        <v>125</v>
      </c>
      <c r="C516" t="s">
        <v>126</v>
      </c>
      <c r="D516" t="s">
        <v>30</v>
      </c>
      <c r="E516">
        <v>73</v>
      </c>
      <c r="F516" t="s">
        <v>21</v>
      </c>
      <c r="G516" t="s">
        <v>55</v>
      </c>
      <c r="H516" t="s">
        <v>56</v>
      </c>
      <c r="I516" t="s">
        <v>49</v>
      </c>
      <c r="J516">
        <v>10</v>
      </c>
      <c r="K516" s="1">
        <v>45726</v>
      </c>
      <c r="L516" s="1">
        <v>45732</v>
      </c>
      <c r="M516" t="s">
        <v>85</v>
      </c>
      <c r="N516" t="s">
        <v>51</v>
      </c>
      <c r="O516">
        <v>115164.76</v>
      </c>
      <c r="P516">
        <v>78312.039999999994</v>
      </c>
      <c r="Q516">
        <v>36852.720000000001</v>
      </c>
      <c r="R516" t="s">
        <v>32</v>
      </c>
      <c r="S516">
        <f t="shared" si="24"/>
        <v>6</v>
      </c>
      <c r="T516" s="2">
        <f t="shared" si="25"/>
        <v>0.68000002778627766</v>
      </c>
      <c r="U516" s="2">
        <f t="shared" si="26"/>
        <v>0.31999997221372234</v>
      </c>
    </row>
    <row r="517" spans="1:21" x14ac:dyDescent="0.3">
      <c r="A517">
        <v>10516</v>
      </c>
      <c r="B517" t="s">
        <v>160</v>
      </c>
      <c r="C517" t="s">
        <v>161</v>
      </c>
      <c r="D517" t="s">
        <v>20</v>
      </c>
      <c r="E517">
        <v>18</v>
      </c>
      <c r="F517" t="s">
        <v>54</v>
      </c>
      <c r="G517" t="s">
        <v>47</v>
      </c>
      <c r="H517" t="s">
        <v>48</v>
      </c>
      <c r="I517" t="s">
        <v>49</v>
      </c>
      <c r="J517">
        <v>8</v>
      </c>
      <c r="K517" s="1">
        <v>45845</v>
      </c>
      <c r="L517" s="1">
        <v>45848</v>
      </c>
      <c r="M517" t="s">
        <v>101</v>
      </c>
      <c r="N517" t="s">
        <v>26</v>
      </c>
      <c r="O517">
        <v>55417.67</v>
      </c>
      <c r="P517">
        <v>42117.43</v>
      </c>
      <c r="Q517">
        <v>13300.24</v>
      </c>
      <c r="R517" t="s">
        <v>27</v>
      </c>
      <c r="S517">
        <f t="shared" si="24"/>
        <v>3</v>
      </c>
      <c r="T517" s="2">
        <f t="shared" si="25"/>
        <v>0.76000001443582887</v>
      </c>
      <c r="U517" s="2">
        <f t="shared" si="26"/>
        <v>0.23999998556417115</v>
      </c>
    </row>
    <row r="518" spans="1:21" x14ac:dyDescent="0.3">
      <c r="A518">
        <v>10517</v>
      </c>
      <c r="B518" t="s">
        <v>133</v>
      </c>
      <c r="C518" t="s">
        <v>134</v>
      </c>
      <c r="D518" t="s">
        <v>20</v>
      </c>
      <c r="E518">
        <v>56</v>
      </c>
      <c r="F518" t="s">
        <v>40</v>
      </c>
      <c r="G518" t="s">
        <v>47</v>
      </c>
      <c r="H518" t="s">
        <v>48</v>
      </c>
      <c r="I518" t="s">
        <v>49</v>
      </c>
      <c r="J518">
        <v>8</v>
      </c>
      <c r="K518" s="1">
        <v>45903</v>
      </c>
      <c r="L518" s="1">
        <v>45905</v>
      </c>
      <c r="M518" t="s">
        <v>50</v>
      </c>
      <c r="N518" t="s">
        <v>26</v>
      </c>
      <c r="O518">
        <v>294956.79999999999</v>
      </c>
      <c r="P518">
        <v>179923.65</v>
      </c>
      <c r="Q518">
        <v>115033.15</v>
      </c>
      <c r="R518" t="s">
        <v>32</v>
      </c>
      <c r="S518">
        <f t="shared" si="24"/>
        <v>2</v>
      </c>
      <c r="T518" s="2">
        <f t="shared" si="25"/>
        <v>0.61000000678065402</v>
      </c>
      <c r="U518" s="2">
        <f t="shared" si="26"/>
        <v>0.38999999321934603</v>
      </c>
    </row>
    <row r="519" spans="1:21" x14ac:dyDescent="0.3">
      <c r="A519">
        <v>10518</v>
      </c>
      <c r="B519" t="s">
        <v>82</v>
      </c>
      <c r="C519" t="s">
        <v>83</v>
      </c>
      <c r="D519" t="s">
        <v>20</v>
      </c>
      <c r="E519">
        <v>74</v>
      </c>
      <c r="F519" t="s">
        <v>84</v>
      </c>
      <c r="G519" t="s">
        <v>70</v>
      </c>
      <c r="H519" t="s">
        <v>71</v>
      </c>
      <c r="I519" t="s">
        <v>43</v>
      </c>
      <c r="J519">
        <v>11</v>
      </c>
      <c r="K519" s="1">
        <v>45710</v>
      </c>
      <c r="L519" s="1">
        <v>45719</v>
      </c>
      <c r="M519" t="s">
        <v>72</v>
      </c>
      <c r="N519" t="s">
        <v>51</v>
      </c>
      <c r="O519">
        <v>16424.439999999999</v>
      </c>
      <c r="P519">
        <v>10347.4</v>
      </c>
      <c r="Q519">
        <v>6077.04</v>
      </c>
      <c r="R519" t="s">
        <v>32</v>
      </c>
      <c r="S519">
        <f t="shared" si="24"/>
        <v>9</v>
      </c>
      <c r="T519" s="2">
        <f t="shared" si="25"/>
        <v>0.63000017047765411</v>
      </c>
      <c r="U519" s="2">
        <f t="shared" si="26"/>
        <v>0.369999829522346</v>
      </c>
    </row>
    <row r="520" spans="1:21" x14ac:dyDescent="0.3">
      <c r="A520">
        <v>10519</v>
      </c>
      <c r="B520" t="s">
        <v>127</v>
      </c>
      <c r="C520" t="s">
        <v>128</v>
      </c>
      <c r="D520" t="s">
        <v>20</v>
      </c>
      <c r="E520">
        <v>41</v>
      </c>
      <c r="F520" t="s">
        <v>54</v>
      </c>
      <c r="G520" t="s">
        <v>47</v>
      </c>
      <c r="H520" t="s">
        <v>48</v>
      </c>
      <c r="I520" t="s">
        <v>49</v>
      </c>
      <c r="J520">
        <v>8</v>
      </c>
      <c r="K520" s="1">
        <v>45798</v>
      </c>
      <c r="L520" s="1">
        <v>45801</v>
      </c>
      <c r="M520" t="s">
        <v>101</v>
      </c>
      <c r="N520" t="s">
        <v>51</v>
      </c>
      <c r="O520">
        <v>30620.240000000002</v>
      </c>
      <c r="P520">
        <v>23577.58</v>
      </c>
      <c r="Q520">
        <v>7042.66</v>
      </c>
      <c r="R520" t="s">
        <v>32</v>
      </c>
      <c r="S520">
        <f t="shared" si="24"/>
        <v>3</v>
      </c>
      <c r="T520" s="2">
        <f t="shared" si="25"/>
        <v>0.76999984324094128</v>
      </c>
      <c r="U520" s="2">
        <f t="shared" si="26"/>
        <v>0.23000015675905869</v>
      </c>
    </row>
    <row r="521" spans="1:21" x14ac:dyDescent="0.3">
      <c r="A521">
        <v>10520</v>
      </c>
      <c r="B521" t="s">
        <v>108</v>
      </c>
      <c r="C521" t="s">
        <v>109</v>
      </c>
      <c r="D521" t="s">
        <v>20</v>
      </c>
      <c r="E521">
        <v>34</v>
      </c>
      <c r="F521" t="s">
        <v>40</v>
      </c>
      <c r="G521" t="s">
        <v>41</v>
      </c>
      <c r="H521" t="s">
        <v>42</v>
      </c>
      <c r="I521" t="s">
        <v>43</v>
      </c>
      <c r="J521">
        <v>9</v>
      </c>
      <c r="K521" s="1">
        <v>45757</v>
      </c>
      <c r="L521" s="1">
        <v>45765</v>
      </c>
      <c r="M521" t="s">
        <v>72</v>
      </c>
      <c r="N521" t="s">
        <v>26</v>
      </c>
      <c r="O521">
        <v>9873.5300000000007</v>
      </c>
      <c r="P521">
        <v>7306.41</v>
      </c>
      <c r="Q521">
        <v>2567.12</v>
      </c>
      <c r="R521" t="s">
        <v>32</v>
      </c>
      <c r="S521">
        <f t="shared" si="24"/>
        <v>8</v>
      </c>
      <c r="T521" s="2">
        <f t="shared" si="25"/>
        <v>0.73999977718202092</v>
      </c>
      <c r="U521" s="2">
        <f t="shared" si="26"/>
        <v>0.26000022281797897</v>
      </c>
    </row>
    <row r="522" spans="1:21" x14ac:dyDescent="0.3">
      <c r="A522">
        <v>10521</v>
      </c>
      <c r="B522" t="s">
        <v>78</v>
      </c>
      <c r="C522" t="s">
        <v>79</v>
      </c>
      <c r="D522" t="s">
        <v>20</v>
      </c>
      <c r="E522">
        <v>67</v>
      </c>
      <c r="F522" t="s">
        <v>35</v>
      </c>
      <c r="G522" t="s">
        <v>22</v>
      </c>
      <c r="H522" t="s">
        <v>23</v>
      </c>
      <c r="I522" t="s">
        <v>24</v>
      </c>
      <c r="J522">
        <v>15</v>
      </c>
      <c r="K522" s="1">
        <v>45663</v>
      </c>
      <c r="L522" s="1">
        <v>45673</v>
      </c>
      <c r="M522" t="s">
        <v>66</v>
      </c>
      <c r="N522" t="s">
        <v>26</v>
      </c>
      <c r="O522">
        <v>67003.97</v>
      </c>
      <c r="P522">
        <v>46902.78</v>
      </c>
      <c r="Q522">
        <v>20101.189999999999</v>
      </c>
      <c r="R522" t="s">
        <v>32</v>
      </c>
      <c r="S522">
        <f t="shared" si="24"/>
        <v>10</v>
      </c>
      <c r="T522" s="2">
        <f t="shared" si="25"/>
        <v>0.70000001492448882</v>
      </c>
      <c r="U522" s="2">
        <f t="shared" si="26"/>
        <v>0.29999998507551118</v>
      </c>
    </row>
    <row r="523" spans="1:21" x14ac:dyDescent="0.3">
      <c r="A523">
        <v>10522</v>
      </c>
      <c r="B523" t="s">
        <v>57</v>
      </c>
      <c r="C523" t="s">
        <v>58</v>
      </c>
      <c r="D523" t="s">
        <v>20</v>
      </c>
      <c r="E523">
        <v>45</v>
      </c>
      <c r="F523" t="s">
        <v>59</v>
      </c>
      <c r="G523" t="s">
        <v>60</v>
      </c>
      <c r="H523" t="s">
        <v>61</v>
      </c>
      <c r="I523" t="s">
        <v>62</v>
      </c>
      <c r="J523">
        <v>18</v>
      </c>
      <c r="K523" s="1">
        <v>45974</v>
      </c>
      <c r="L523" s="1">
        <v>45986</v>
      </c>
      <c r="M523" t="s">
        <v>96</v>
      </c>
      <c r="N523" t="s">
        <v>26</v>
      </c>
      <c r="O523">
        <v>106381.28</v>
      </c>
      <c r="P523">
        <v>87232.65</v>
      </c>
      <c r="Q523">
        <v>19148.63</v>
      </c>
      <c r="R523" t="s">
        <v>32</v>
      </c>
      <c r="S523">
        <f t="shared" si="24"/>
        <v>12</v>
      </c>
      <c r="T523" s="2">
        <f t="shared" si="25"/>
        <v>0.82000000376005999</v>
      </c>
      <c r="U523" s="2">
        <f t="shared" si="26"/>
        <v>0.17999999623993998</v>
      </c>
    </row>
    <row r="524" spans="1:21" x14ac:dyDescent="0.3">
      <c r="A524">
        <v>10523</v>
      </c>
      <c r="B524" t="s">
        <v>139</v>
      </c>
      <c r="C524" t="s">
        <v>140</v>
      </c>
      <c r="D524" t="s">
        <v>20</v>
      </c>
      <c r="E524">
        <v>21</v>
      </c>
      <c r="F524" t="s">
        <v>119</v>
      </c>
      <c r="G524" t="s">
        <v>55</v>
      </c>
      <c r="H524" t="s">
        <v>56</v>
      </c>
      <c r="I524" t="s">
        <v>49</v>
      </c>
      <c r="J524">
        <v>10</v>
      </c>
      <c r="K524" s="1">
        <v>45818</v>
      </c>
      <c r="L524" s="1">
        <v>45829</v>
      </c>
      <c r="M524" t="s">
        <v>85</v>
      </c>
      <c r="N524" t="s">
        <v>26</v>
      </c>
      <c r="O524">
        <v>105271.38</v>
      </c>
      <c r="P524">
        <v>65268.26</v>
      </c>
      <c r="Q524">
        <v>40003.120000000003</v>
      </c>
      <c r="R524" t="s">
        <v>32</v>
      </c>
      <c r="S524">
        <f t="shared" si="24"/>
        <v>11</v>
      </c>
      <c r="T524" s="2">
        <f t="shared" si="25"/>
        <v>0.62000004179673529</v>
      </c>
      <c r="U524" s="2">
        <f t="shared" si="26"/>
        <v>0.37999995820326476</v>
      </c>
    </row>
    <row r="525" spans="1:21" x14ac:dyDescent="0.3">
      <c r="A525">
        <v>10524</v>
      </c>
      <c r="B525" t="s">
        <v>148</v>
      </c>
      <c r="C525" t="s">
        <v>149</v>
      </c>
      <c r="D525" t="s">
        <v>30</v>
      </c>
      <c r="E525">
        <v>19</v>
      </c>
      <c r="F525" t="s">
        <v>21</v>
      </c>
      <c r="G525" t="s">
        <v>60</v>
      </c>
      <c r="H525" t="s">
        <v>61</v>
      </c>
      <c r="I525" t="s">
        <v>62</v>
      </c>
      <c r="J525">
        <v>18</v>
      </c>
      <c r="K525" s="1">
        <v>45795</v>
      </c>
      <c r="L525" s="1">
        <v>45800</v>
      </c>
      <c r="M525" t="s">
        <v>77</v>
      </c>
      <c r="N525" t="s">
        <v>26</v>
      </c>
      <c r="O525">
        <v>87885.66</v>
      </c>
      <c r="P525">
        <v>53610.25</v>
      </c>
      <c r="Q525">
        <v>34275.410000000003</v>
      </c>
      <c r="R525" t="s">
        <v>32</v>
      </c>
      <c r="S525">
        <f t="shared" si="24"/>
        <v>5</v>
      </c>
      <c r="T525" s="2">
        <f t="shared" si="25"/>
        <v>0.60999997041610654</v>
      </c>
      <c r="U525" s="2">
        <f t="shared" si="26"/>
        <v>0.39000002958389346</v>
      </c>
    </row>
    <row r="526" spans="1:21" x14ac:dyDescent="0.3">
      <c r="A526">
        <v>10525</v>
      </c>
      <c r="B526" t="s">
        <v>38</v>
      </c>
      <c r="C526" t="s">
        <v>39</v>
      </c>
      <c r="D526" t="s">
        <v>30</v>
      </c>
      <c r="E526">
        <v>62</v>
      </c>
      <c r="F526" t="s">
        <v>40</v>
      </c>
      <c r="G526" t="s">
        <v>22</v>
      </c>
      <c r="H526" t="s">
        <v>23</v>
      </c>
      <c r="I526" t="s">
        <v>24</v>
      </c>
      <c r="J526">
        <v>15</v>
      </c>
      <c r="K526" s="1">
        <v>45753</v>
      </c>
      <c r="L526" s="1">
        <v>45759</v>
      </c>
      <c r="M526" t="s">
        <v>76</v>
      </c>
      <c r="N526" t="s">
        <v>26</v>
      </c>
      <c r="O526">
        <v>349213.06</v>
      </c>
      <c r="P526">
        <v>265401.93</v>
      </c>
      <c r="Q526">
        <v>83811.13</v>
      </c>
      <c r="R526" t="s">
        <v>27</v>
      </c>
      <c r="S526">
        <f t="shared" si="24"/>
        <v>6</v>
      </c>
      <c r="T526" s="2">
        <f t="shared" si="25"/>
        <v>0.7600000125997578</v>
      </c>
      <c r="U526" s="2">
        <f t="shared" si="26"/>
        <v>0.23999998740024214</v>
      </c>
    </row>
    <row r="527" spans="1:21" x14ac:dyDescent="0.3">
      <c r="A527">
        <v>10526</v>
      </c>
      <c r="B527" t="s">
        <v>131</v>
      </c>
      <c r="C527" t="s">
        <v>132</v>
      </c>
      <c r="D527" t="s">
        <v>20</v>
      </c>
      <c r="E527">
        <v>68</v>
      </c>
      <c r="F527" t="s">
        <v>31</v>
      </c>
      <c r="G527" t="s">
        <v>60</v>
      </c>
      <c r="H527" t="s">
        <v>61</v>
      </c>
      <c r="I527" t="s">
        <v>62</v>
      </c>
      <c r="J527">
        <v>18</v>
      </c>
      <c r="K527" s="1">
        <v>45909</v>
      </c>
      <c r="L527" s="1">
        <v>45914</v>
      </c>
      <c r="M527" t="s">
        <v>63</v>
      </c>
      <c r="N527" t="s">
        <v>26</v>
      </c>
      <c r="O527">
        <v>17307.990000000002</v>
      </c>
      <c r="P527">
        <v>11077.11</v>
      </c>
      <c r="Q527">
        <v>6230.88</v>
      </c>
      <c r="R527" t="s">
        <v>32</v>
      </c>
      <c r="S527">
        <f t="shared" si="24"/>
        <v>5</v>
      </c>
      <c r="T527" s="2">
        <f t="shared" si="25"/>
        <v>0.63999979200357748</v>
      </c>
      <c r="U527" s="2">
        <f t="shared" si="26"/>
        <v>0.36000020799642246</v>
      </c>
    </row>
    <row r="528" spans="1:21" x14ac:dyDescent="0.3">
      <c r="A528">
        <v>10527</v>
      </c>
      <c r="B528" t="s">
        <v>123</v>
      </c>
      <c r="C528" t="s">
        <v>124</v>
      </c>
      <c r="D528" t="s">
        <v>30</v>
      </c>
      <c r="E528">
        <v>65</v>
      </c>
      <c r="F528" t="s">
        <v>35</v>
      </c>
      <c r="G528" t="s">
        <v>88</v>
      </c>
      <c r="H528" t="s">
        <v>89</v>
      </c>
      <c r="I528" t="s">
        <v>62</v>
      </c>
      <c r="J528">
        <v>14</v>
      </c>
      <c r="K528" s="1">
        <v>45974</v>
      </c>
      <c r="L528" s="1">
        <v>45980</v>
      </c>
      <c r="M528" t="s">
        <v>77</v>
      </c>
      <c r="N528" t="s">
        <v>26</v>
      </c>
      <c r="O528">
        <v>69082.63</v>
      </c>
      <c r="P528">
        <v>49739.49</v>
      </c>
      <c r="Q528">
        <v>19343.14</v>
      </c>
      <c r="R528" t="s">
        <v>32</v>
      </c>
      <c r="S528">
        <f t="shared" si="24"/>
        <v>6</v>
      </c>
      <c r="T528" s="2">
        <f t="shared" si="25"/>
        <v>0.71999994788849231</v>
      </c>
      <c r="U528" s="2">
        <f t="shared" si="26"/>
        <v>0.28000005211150758</v>
      </c>
    </row>
    <row r="529" spans="1:21" x14ac:dyDescent="0.3">
      <c r="A529">
        <v>10528</v>
      </c>
      <c r="B529" t="s">
        <v>97</v>
      </c>
      <c r="C529" t="s">
        <v>98</v>
      </c>
      <c r="D529" t="s">
        <v>20</v>
      </c>
      <c r="E529">
        <v>43</v>
      </c>
      <c r="F529" t="s">
        <v>69</v>
      </c>
      <c r="G529" t="s">
        <v>36</v>
      </c>
      <c r="H529" t="s">
        <v>37</v>
      </c>
      <c r="I529" t="s">
        <v>24</v>
      </c>
      <c r="J529">
        <v>12</v>
      </c>
      <c r="K529" s="1">
        <v>45831</v>
      </c>
      <c r="L529" s="1">
        <v>45844</v>
      </c>
      <c r="M529" t="s">
        <v>66</v>
      </c>
      <c r="N529" t="s">
        <v>26</v>
      </c>
      <c r="O529">
        <v>61408.65</v>
      </c>
      <c r="P529">
        <v>49741.01</v>
      </c>
      <c r="Q529">
        <v>11667.64</v>
      </c>
      <c r="R529" t="s">
        <v>27</v>
      </c>
      <c r="S529">
        <f t="shared" si="24"/>
        <v>13</v>
      </c>
      <c r="T529" s="2">
        <f t="shared" si="25"/>
        <v>0.81000005699522792</v>
      </c>
      <c r="U529" s="2">
        <f t="shared" si="26"/>
        <v>0.1899999430047721</v>
      </c>
    </row>
    <row r="530" spans="1:21" x14ac:dyDescent="0.3">
      <c r="A530">
        <v>10529</v>
      </c>
      <c r="B530" t="s">
        <v>97</v>
      </c>
      <c r="C530" t="s">
        <v>98</v>
      </c>
      <c r="D530" t="s">
        <v>20</v>
      </c>
      <c r="E530">
        <v>43</v>
      </c>
      <c r="F530" t="s">
        <v>69</v>
      </c>
      <c r="G530" t="s">
        <v>22</v>
      </c>
      <c r="H530" t="s">
        <v>23</v>
      </c>
      <c r="I530" t="s">
        <v>24</v>
      </c>
      <c r="J530">
        <v>15</v>
      </c>
      <c r="K530" s="1">
        <v>45836</v>
      </c>
      <c r="L530" s="1">
        <v>45843</v>
      </c>
      <c r="M530" t="s">
        <v>25</v>
      </c>
      <c r="N530" t="s">
        <v>26</v>
      </c>
      <c r="O530">
        <v>233499.11</v>
      </c>
      <c r="P530">
        <v>142434.46</v>
      </c>
      <c r="Q530">
        <v>91064.65</v>
      </c>
      <c r="R530" t="s">
        <v>32</v>
      </c>
      <c r="S530">
        <f t="shared" si="24"/>
        <v>7</v>
      </c>
      <c r="T530" s="2">
        <f t="shared" si="25"/>
        <v>0.61000001241974755</v>
      </c>
      <c r="U530" s="2">
        <f t="shared" si="26"/>
        <v>0.38999998758025245</v>
      </c>
    </row>
    <row r="531" spans="1:21" x14ac:dyDescent="0.3">
      <c r="A531">
        <v>10530</v>
      </c>
      <c r="B531" t="s">
        <v>152</v>
      </c>
      <c r="C531" t="s">
        <v>153</v>
      </c>
      <c r="D531" t="s">
        <v>20</v>
      </c>
      <c r="E531">
        <v>27</v>
      </c>
      <c r="F531" t="s">
        <v>59</v>
      </c>
      <c r="G531" t="s">
        <v>47</v>
      </c>
      <c r="H531" t="s">
        <v>48</v>
      </c>
      <c r="I531" t="s">
        <v>49</v>
      </c>
      <c r="J531">
        <v>8</v>
      </c>
      <c r="K531" s="1">
        <v>45926</v>
      </c>
      <c r="L531" s="1">
        <v>45932</v>
      </c>
      <c r="M531" t="s">
        <v>85</v>
      </c>
      <c r="N531" t="s">
        <v>26</v>
      </c>
      <c r="O531">
        <v>53072.97</v>
      </c>
      <c r="P531">
        <v>32905.24</v>
      </c>
      <c r="Q531">
        <v>20167.73</v>
      </c>
      <c r="R531" t="s">
        <v>32</v>
      </c>
      <c r="S531">
        <f t="shared" si="24"/>
        <v>6</v>
      </c>
      <c r="T531" s="2">
        <f t="shared" si="25"/>
        <v>0.61999997362122372</v>
      </c>
      <c r="U531" s="2">
        <f t="shared" si="26"/>
        <v>0.38000002637877622</v>
      </c>
    </row>
    <row r="532" spans="1:21" x14ac:dyDescent="0.3">
      <c r="A532">
        <v>10531</v>
      </c>
      <c r="B532" t="s">
        <v>18</v>
      </c>
      <c r="C532" t="s">
        <v>19</v>
      </c>
      <c r="D532" t="s">
        <v>20</v>
      </c>
      <c r="E532">
        <v>45</v>
      </c>
      <c r="F532" t="s">
        <v>21</v>
      </c>
      <c r="G532" t="s">
        <v>55</v>
      </c>
      <c r="H532" t="s">
        <v>56</v>
      </c>
      <c r="I532" t="s">
        <v>49</v>
      </c>
      <c r="J532">
        <v>10</v>
      </c>
      <c r="K532" s="1">
        <v>45768</v>
      </c>
      <c r="L532" s="1">
        <v>45779</v>
      </c>
      <c r="M532" t="s">
        <v>101</v>
      </c>
      <c r="N532" t="s">
        <v>26</v>
      </c>
      <c r="O532">
        <v>40491.33</v>
      </c>
      <c r="P532">
        <v>31178.32</v>
      </c>
      <c r="Q532">
        <v>9313.01</v>
      </c>
      <c r="R532" t="s">
        <v>32</v>
      </c>
      <c r="S532">
        <f t="shared" si="24"/>
        <v>11</v>
      </c>
      <c r="T532" s="2">
        <f t="shared" si="25"/>
        <v>0.76999989874375574</v>
      </c>
      <c r="U532" s="2">
        <f t="shared" si="26"/>
        <v>0.23000010125624423</v>
      </c>
    </row>
    <row r="533" spans="1:21" x14ac:dyDescent="0.3">
      <c r="A533">
        <v>10532</v>
      </c>
      <c r="B533" t="s">
        <v>148</v>
      </c>
      <c r="C533" t="s">
        <v>149</v>
      </c>
      <c r="D533" t="s">
        <v>30</v>
      </c>
      <c r="E533">
        <v>19</v>
      </c>
      <c r="F533" t="s">
        <v>21</v>
      </c>
      <c r="G533" t="s">
        <v>41</v>
      </c>
      <c r="H533" t="s">
        <v>42</v>
      </c>
      <c r="I533" t="s">
        <v>43</v>
      </c>
      <c r="J533">
        <v>9</v>
      </c>
      <c r="K533" s="1">
        <v>45952</v>
      </c>
      <c r="L533" s="1">
        <v>45966</v>
      </c>
      <c r="M533" t="s">
        <v>72</v>
      </c>
      <c r="N533" t="s">
        <v>26</v>
      </c>
      <c r="O533">
        <v>13950.88</v>
      </c>
      <c r="P533">
        <v>10881.69</v>
      </c>
      <c r="Q533">
        <v>3069.19</v>
      </c>
      <c r="R533" t="s">
        <v>27</v>
      </c>
      <c r="S533">
        <f t="shared" si="24"/>
        <v>14</v>
      </c>
      <c r="T533" s="2">
        <f t="shared" si="25"/>
        <v>0.78000025804823792</v>
      </c>
      <c r="U533" s="2">
        <f t="shared" si="26"/>
        <v>0.2199997419517622</v>
      </c>
    </row>
    <row r="534" spans="1:21" x14ac:dyDescent="0.3">
      <c r="A534">
        <v>10533</v>
      </c>
      <c r="B534" t="s">
        <v>33</v>
      </c>
      <c r="C534" t="s">
        <v>34</v>
      </c>
      <c r="D534" t="s">
        <v>20</v>
      </c>
      <c r="E534">
        <v>26</v>
      </c>
      <c r="F534" t="s">
        <v>35</v>
      </c>
      <c r="G534" t="s">
        <v>70</v>
      </c>
      <c r="H534" t="s">
        <v>71</v>
      </c>
      <c r="I534" t="s">
        <v>43</v>
      </c>
      <c r="J534">
        <v>11</v>
      </c>
      <c r="K534" s="1">
        <v>45919</v>
      </c>
      <c r="L534" s="1">
        <v>45926</v>
      </c>
      <c r="M534" t="s">
        <v>112</v>
      </c>
      <c r="N534" t="s">
        <v>26</v>
      </c>
      <c r="O534">
        <v>55178.77</v>
      </c>
      <c r="P534">
        <v>40832.29</v>
      </c>
      <c r="Q534">
        <v>14346.48</v>
      </c>
      <c r="R534" t="s">
        <v>32</v>
      </c>
      <c r="S534">
        <f t="shared" si="24"/>
        <v>7</v>
      </c>
      <c r="T534" s="2">
        <f t="shared" si="25"/>
        <v>0.74000000362458251</v>
      </c>
      <c r="U534" s="2">
        <f t="shared" si="26"/>
        <v>0.2599999963754176</v>
      </c>
    </row>
    <row r="535" spans="1:21" x14ac:dyDescent="0.3">
      <c r="A535">
        <v>10534</v>
      </c>
      <c r="B535" t="s">
        <v>28</v>
      </c>
      <c r="C535" t="s">
        <v>29</v>
      </c>
      <c r="D535" t="s">
        <v>30</v>
      </c>
      <c r="E535">
        <v>60</v>
      </c>
      <c r="F535" t="s">
        <v>31</v>
      </c>
      <c r="G535" t="s">
        <v>47</v>
      </c>
      <c r="H535" t="s">
        <v>48</v>
      </c>
      <c r="I535" t="s">
        <v>49</v>
      </c>
      <c r="J535">
        <v>8</v>
      </c>
      <c r="K535" s="1">
        <v>45706</v>
      </c>
      <c r="L535" s="1">
        <v>45718</v>
      </c>
      <c r="M535" t="s">
        <v>101</v>
      </c>
      <c r="N535" t="s">
        <v>51</v>
      </c>
      <c r="O535">
        <v>32907.949999999997</v>
      </c>
      <c r="P535">
        <v>20402.93</v>
      </c>
      <c r="Q535">
        <v>12505.02</v>
      </c>
      <c r="R535" t="s">
        <v>32</v>
      </c>
      <c r="S535">
        <f t="shared" si="24"/>
        <v>12</v>
      </c>
      <c r="T535" s="2">
        <f t="shared" si="25"/>
        <v>0.62000003038779394</v>
      </c>
      <c r="U535" s="2">
        <f t="shared" si="26"/>
        <v>0.37999996961220622</v>
      </c>
    </row>
    <row r="536" spans="1:21" x14ac:dyDescent="0.3">
      <c r="A536">
        <v>10535</v>
      </c>
      <c r="B536" t="s">
        <v>67</v>
      </c>
      <c r="C536" t="s">
        <v>68</v>
      </c>
      <c r="D536" t="s">
        <v>20</v>
      </c>
      <c r="E536">
        <v>33</v>
      </c>
      <c r="F536" t="s">
        <v>69</v>
      </c>
      <c r="G536" t="s">
        <v>88</v>
      </c>
      <c r="H536" t="s">
        <v>89</v>
      </c>
      <c r="I536" t="s">
        <v>62</v>
      </c>
      <c r="J536">
        <v>14</v>
      </c>
      <c r="K536" s="1">
        <v>45731</v>
      </c>
      <c r="L536" s="1">
        <v>45740</v>
      </c>
      <c r="M536" t="s">
        <v>63</v>
      </c>
      <c r="N536" t="s">
        <v>26</v>
      </c>
      <c r="O536">
        <v>25690.48</v>
      </c>
      <c r="P536">
        <v>21066.19</v>
      </c>
      <c r="Q536">
        <v>4624.29</v>
      </c>
      <c r="R536" t="s">
        <v>27</v>
      </c>
      <c r="S536">
        <f t="shared" si="24"/>
        <v>9</v>
      </c>
      <c r="T536" s="2">
        <f t="shared" si="25"/>
        <v>0.81999985987027102</v>
      </c>
      <c r="U536" s="2">
        <f t="shared" si="26"/>
        <v>0.18000014012972898</v>
      </c>
    </row>
    <row r="537" spans="1:21" x14ac:dyDescent="0.3">
      <c r="A537">
        <v>10536</v>
      </c>
      <c r="B537" t="s">
        <v>146</v>
      </c>
      <c r="C537" t="s">
        <v>147</v>
      </c>
      <c r="D537" t="s">
        <v>30</v>
      </c>
      <c r="E537">
        <v>75</v>
      </c>
      <c r="F537" t="s">
        <v>84</v>
      </c>
      <c r="G537" t="s">
        <v>41</v>
      </c>
      <c r="H537" t="s">
        <v>42</v>
      </c>
      <c r="I537" t="s">
        <v>43</v>
      </c>
      <c r="J537">
        <v>9</v>
      </c>
      <c r="K537" s="1">
        <v>45903</v>
      </c>
      <c r="L537" s="1">
        <v>45917</v>
      </c>
      <c r="M537" t="s">
        <v>112</v>
      </c>
      <c r="N537" t="s">
        <v>26</v>
      </c>
      <c r="O537">
        <v>56571.78</v>
      </c>
      <c r="P537">
        <v>46954.58</v>
      </c>
      <c r="Q537">
        <v>9617.2000000000007</v>
      </c>
      <c r="R537" t="s">
        <v>32</v>
      </c>
      <c r="S537">
        <f t="shared" si="24"/>
        <v>14</v>
      </c>
      <c r="T537" s="2">
        <f t="shared" si="25"/>
        <v>0.83000004595931054</v>
      </c>
      <c r="U537" s="2">
        <f t="shared" si="26"/>
        <v>0.16999995404068957</v>
      </c>
    </row>
    <row r="538" spans="1:21" x14ac:dyDescent="0.3">
      <c r="A538">
        <v>10537</v>
      </c>
      <c r="B538" t="s">
        <v>106</v>
      </c>
      <c r="C538" t="s">
        <v>107</v>
      </c>
      <c r="D538" t="s">
        <v>30</v>
      </c>
      <c r="E538">
        <v>37</v>
      </c>
      <c r="F538" t="s">
        <v>31</v>
      </c>
      <c r="G538" t="s">
        <v>88</v>
      </c>
      <c r="H538" t="s">
        <v>89</v>
      </c>
      <c r="I538" t="s">
        <v>62</v>
      </c>
      <c r="J538">
        <v>14</v>
      </c>
      <c r="K538" s="1">
        <v>45785</v>
      </c>
      <c r="L538" s="1">
        <v>45791</v>
      </c>
      <c r="M538" t="s">
        <v>96</v>
      </c>
      <c r="N538" t="s">
        <v>51</v>
      </c>
      <c r="O538">
        <v>202369.64</v>
      </c>
      <c r="P538">
        <v>125469.18</v>
      </c>
      <c r="Q538">
        <v>76900.460000000006</v>
      </c>
      <c r="R538" t="s">
        <v>32</v>
      </c>
      <c r="S538">
        <f t="shared" si="24"/>
        <v>6</v>
      </c>
      <c r="T538" s="2">
        <f t="shared" si="25"/>
        <v>0.62000001581264852</v>
      </c>
      <c r="U538" s="2">
        <f t="shared" si="26"/>
        <v>0.37999998418735143</v>
      </c>
    </row>
    <row r="539" spans="1:21" x14ac:dyDescent="0.3">
      <c r="A539">
        <v>10538</v>
      </c>
      <c r="B539" t="s">
        <v>94</v>
      </c>
      <c r="C539" t="s">
        <v>95</v>
      </c>
      <c r="D539" t="s">
        <v>30</v>
      </c>
      <c r="E539">
        <v>66</v>
      </c>
      <c r="F539" t="s">
        <v>54</v>
      </c>
      <c r="G539" t="s">
        <v>41</v>
      </c>
      <c r="H539" t="s">
        <v>42</v>
      </c>
      <c r="I539" t="s">
        <v>43</v>
      </c>
      <c r="J539">
        <v>9</v>
      </c>
      <c r="K539" s="1">
        <v>45974</v>
      </c>
      <c r="L539" s="1">
        <v>45987</v>
      </c>
      <c r="M539" t="s">
        <v>112</v>
      </c>
      <c r="N539" t="s">
        <v>51</v>
      </c>
      <c r="O539">
        <v>62130.01</v>
      </c>
      <c r="P539">
        <v>52810.51</v>
      </c>
      <c r="Q539">
        <v>9319.5</v>
      </c>
      <c r="R539" t="s">
        <v>32</v>
      </c>
      <c r="S539">
        <f t="shared" si="24"/>
        <v>13</v>
      </c>
      <c r="T539" s="2">
        <f t="shared" si="25"/>
        <v>0.85000002414292219</v>
      </c>
      <c r="U539" s="2">
        <f t="shared" si="26"/>
        <v>0.14999997585707775</v>
      </c>
    </row>
    <row r="540" spans="1:21" x14ac:dyDescent="0.3">
      <c r="A540">
        <v>10539</v>
      </c>
      <c r="B540" t="s">
        <v>131</v>
      </c>
      <c r="C540" t="s">
        <v>132</v>
      </c>
      <c r="D540" t="s">
        <v>20</v>
      </c>
      <c r="E540">
        <v>68</v>
      </c>
      <c r="F540" t="s">
        <v>31</v>
      </c>
      <c r="G540" t="s">
        <v>55</v>
      </c>
      <c r="H540" t="s">
        <v>56</v>
      </c>
      <c r="I540" t="s">
        <v>49</v>
      </c>
      <c r="J540">
        <v>10</v>
      </c>
      <c r="K540" s="1">
        <v>45821</v>
      </c>
      <c r="L540" s="1">
        <v>45831</v>
      </c>
      <c r="M540" t="s">
        <v>50</v>
      </c>
      <c r="N540" t="s">
        <v>26</v>
      </c>
      <c r="O540">
        <v>332548.71000000002</v>
      </c>
      <c r="P540">
        <v>252737.02</v>
      </c>
      <c r="Q540">
        <v>79811.69</v>
      </c>
      <c r="R540" t="s">
        <v>32</v>
      </c>
      <c r="S540">
        <f t="shared" si="24"/>
        <v>10</v>
      </c>
      <c r="T540" s="2">
        <f t="shared" si="25"/>
        <v>0.76000000120283118</v>
      </c>
      <c r="U540" s="2">
        <f t="shared" si="26"/>
        <v>0.23999999879716868</v>
      </c>
    </row>
    <row r="541" spans="1:21" x14ac:dyDescent="0.3">
      <c r="A541">
        <v>10540</v>
      </c>
      <c r="B541" t="s">
        <v>102</v>
      </c>
      <c r="C541" t="s">
        <v>103</v>
      </c>
      <c r="D541" t="s">
        <v>30</v>
      </c>
      <c r="E541">
        <v>59</v>
      </c>
      <c r="F541" t="s">
        <v>75</v>
      </c>
      <c r="G541" t="s">
        <v>41</v>
      </c>
      <c r="H541" t="s">
        <v>42</v>
      </c>
      <c r="I541" t="s">
        <v>43</v>
      </c>
      <c r="J541">
        <v>9</v>
      </c>
      <c r="K541" s="1">
        <v>45763</v>
      </c>
      <c r="L541" s="1">
        <v>45765</v>
      </c>
      <c r="M541" t="s">
        <v>44</v>
      </c>
      <c r="N541" t="s">
        <v>51</v>
      </c>
      <c r="O541">
        <v>13918.09</v>
      </c>
      <c r="P541">
        <v>10160.209999999999</v>
      </c>
      <c r="Q541">
        <v>3757.88</v>
      </c>
      <c r="R541" t="s">
        <v>32</v>
      </c>
      <c r="S541">
        <f t="shared" si="24"/>
        <v>2</v>
      </c>
      <c r="T541" s="2">
        <f t="shared" si="25"/>
        <v>0.73000030895043777</v>
      </c>
      <c r="U541" s="2">
        <f t="shared" si="26"/>
        <v>0.26999969104956212</v>
      </c>
    </row>
    <row r="542" spans="1:21" x14ac:dyDescent="0.3">
      <c r="A542">
        <v>10541</v>
      </c>
      <c r="B542" t="s">
        <v>120</v>
      </c>
      <c r="C542" t="s">
        <v>74</v>
      </c>
      <c r="D542" t="s">
        <v>20</v>
      </c>
      <c r="E542">
        <v>61</v>
      </c>
      <c r="F542" t="s">
        <v>69</v>
      </c>
      <c r="G542" t="s">
        <v>41</v>
      </c>
      <c r="H542" t="s">
        <v>42</v>
      </c>
      <c r="I542" t="s">
        <v>43</v>
      </c>
      <c r="J542">
        <v>9</v>
      </c>
      <c r="K542" s="1">
        <v>45757</v>
      </c>
      <c r="L542" s="1">
        <v>45760</v>
      </c>
      <c r="M542" t="s">
        <v>112</v>
      </c>
      <c r="N542" t="s">
        <v>26</v>
      </c>
      <c r="O542">
        <v>52259.42</v>
      </c>
      <c r="P542">
        <v>38671.97</v>
      </c>
      <c r="Q542">
        <v>13587.45</v>
      </c>
      <c r="R542" t="s">
        <v>32</v>
      </c>
      <c r="S542">
        <f t="shared" si="24"/>
        <v>3</v>
      </c>
      <c r="T542" s="2">
        <f t="shared" si="25"/>
        <v>0.7399999846917551</v>
      </c>
      <c r="U542" s="2">
        <f t="shared" si="26"/>
        <v>0.2600000153082449</v>
      </c>
    </row>
    <row r="543" spans="1:21" x14ac:dyDescent="0.3">
      <c r="A543">
        <v>10542</v>
      </c>
      <c r="B543" t="s">
        <v>123</v>
      </c>
      <c r="C543" t="s">
        <v>124</v>
      </c>
      <c r="D543" t="s">
        <v>30</v>
      </c>
      <c r="E543">
        <v>65</v>
      </c>
      <c r="F543" t="s">
        <v>35</v>
      </c>
      <c r="G543" t="s">
        <v>36</v>
      </c>
      <c r="H543" t="s">
        <v>37</v>
      </c>
      <c r="I543" t="s">
        <v>24</v>
      </c>
      <c r="J543">
        <v>12</v>
      </c>
      <c r="K543" s="1">
        <v>45727</v>
      </c>
      <c r="L543" s="1">
        <v>45737</v>
      </c>
      <c r="M543" t="s">
        <v>66</v>
      </c>
      <c r="N543" t="s">
        <v>26</v>
      </c>
      <c r="O543">
        <v>64410.64</v>
      </c>
      <c r="P543">
        <v>51528.51</v>
      </c>
      <c r="Q543">
        <v>12882.13</v>
      </c>
      <c r="R543" t="s">
        <v>32</v>
      </c>
      <c r="S543">
        <f t="shared" si="24"/>
        <v>10</v>
      </c>
      <c r="T543" s="2">
        <f t="shared" si="25"/>
        <v>0.79999996894922953</v>
      </c>
      <c r="U543" s="2">
        <f t="shared" si="26"/>
        <v>0.20000003105077049</v>
      </c>
    </row>
    <row r="544" spans="1:21" x14ac:dyDescent="0.3">
      <c r="A544">
        <v>10543</v>
      </c>
      <c r="B544" t="s">
        <v>131</v>
      </c>
      <c r="C544" t="s">
        <v>132</v>
      </c>
      <c r="D544" t="s">
        <v>20</v>
      </c>
      <c r="E544">
        <v>68</v>
      </c>
      <c r="F544" t="s">
        <v>31</v>
      </c>
      <c r="G544" t="s">
        <v>88</v>
      </c>
      <c r="H544" t="s">
        <v>89</v>
      </c>
      <c r="I544" t="s">
        <v>62</v>
      </c>
      <c r="J544">
        <v>14</v>
      </c>
      <c r="K544" s="1">
        <v>45844</v>
      </c>
      <c r="L544" s="1">
        <v>45855</v>
      </c>
      <c r="M544" t="s">
        <v>63</v>
      </c>
      <c r="N544" t="s">
        <v>51</v>
      </c>
      <c r="O544">
        <v>40646.68</v>
      </c>
      <c r="P544">
        <v>27639.74</v>
      </c>
      <c r="Q544">
        <v>13006.94</v>
      </c>
      <c r="R544" t="s">
        <v>27</v>
      </c>
      <c r="S544">
        <f t="shared" si="24"/>
        <v>11</v>
      </c>
      <c r="T544" s="2">
        <f t="shared" si="25"/>
        <v>0.67999994095458727</v>
      </c>
      <c r="U544" s="2">
        <f t="shared" si="26"/>
        <v>0.32000005904541284</v>
      </c>
    </row>
    <row r="545" spans="1:21" x14ac:dyDescent="0.3">
      <c r="A545">
        <v>10544</v>
      </c>
      <c r="B545" t="s">
        <v>86</v>
      </c>
      <c r="C545" t="s">
        <v>87</v>
      </c>
      <c r="D545" t="s">
        <v>30</v>
      </c>
      <c r="E545">
        <v>23</v>
      </c>
      <c r="F545" t="s">
        <v>31</v>
      </c>
      <c r="G545" t="s">
        <v>36</v>
      </c>
      <c r="H545" t="s">
        <v>37</v>
      </c>
      <c r="I545" t="s">
        <v>24</v>
      </c>
      <c r="J545">
        <v>12</v>
      </c>
      <c r="K545" s="1">
        <v>45695</v>
      </c>
      <c r="L545" s="1">
        <v>45709</v>
      </c>
      <c r="M545" t="s">
        <v>66</v>
      </c>
      <c r="N545" t="s">
        <v>26</v>
      </c>
      <c r="O545">
        <v>66771.17</v>
      </c>
      <c r="P545">
        <v>44068.97</v>
      </c>
      <c r="Q545">
        <v>22702.2</v>
      </c>
      <c r="R545" t="s">
        <v>32</v>
      </c>
      <c r="S545">
        <f t="shared" si="24"/>
        <v>14</v>
      </c>
      <c r="T545" s="2">
        <f t="shared" si="25"/>
        <v>0.65999996705164821</v>
      </c>
      <c r="U545" s="2">
        <f t="shared" si="26"/>
        <v>0.34000003294835185</v>
      </c>
    </row>
    <row r="546" spans="1:21" x14ac:dyDescent="0.3">
      <c r="A546">
        <v>10545</v>
      </c>
      <c r="B546" t="s">
        <v>52</v>
      </c>
      <c r="C546" t="s">
        <v>53</v>
      </c>
      <c r="D546" t="s">
        <v>20</v>
      </c>
      <c r="E546">
        <v>49</v>
      </c>
      <c r="F546" t="s">
        <v>54</v>
      </c>
      <c r="G546" t="s">
        <v>88</v>
      </c>
      <c r="H546" t="s">
        <v>89</v>
      </c>
      <c r="I546" t="s">
        <v>62</v>
      </c>
      <c r="J546">
        <v>14</v>
      </c>
      <c r="K546" s="1">
        <v>45824</v>
      </c>
      <c r="L546" s="1">
        <v>45827</v>
      </c>
      <c r="M546" t="s">
        <v>96</v>
      </c>
      <c r="N546" t="s">
        <v>26</v>
      </c>
      <c r="O546">
        <v>193901.16</v>
      </c>
      <c r="P546">
        <v>143486.85999999999</v>
      </c>
      <c r="Q546">
        <v>50414.3</v>
      </c>
      <c r="R546" t="s">
        <v>32</v>
      </c>
      <c r="S546">
        <f t="shared" si="24"/>
        <v>3</v>
      </c>
      <c r="T546" s="2">
        <f t="shared" si="25"/>
        <v>0.74000000825162671</v>
      </c>
      <c r="U546" s="2">
        <f t="shared" si="26"/>
        <v>0.25999999174837324</v>
      </c>
    </row>
    <row r="547" spans="1:21" x14ac:dyDescent="0.3">
      <c r="A547">
        <v>10546</v>
      </c>
      <c r="B547" t="s">
        <v>80</v>
      </c>
      <c r="C547" t="s">
        <v>81</v>
      </c>
      <c r="D547" t="s">
        <v>20</v>
      </c>
      <c r="E547">
        <v>65</v>
      </c>
      <c r="F547" t="s">
        <v>40</v>
      </c>
      <c r="G547" t="s">
        <v>60</v>
      </c>
      <c r="H547" t="s">
        <v>61</v>
      </c>
      <c r="I547" t="s">
        <v>62</v>
      </c>
      <c r="J547">
        <v>18</v>
      </c>
      <c r="K547" s="1">
        <v>45976</v>
      </c>
      <c r="L547" s="1">
        <v>45989</v>
      </c>
      <c r="M547" t="s">
        <v>77</v>
      </c>
      <c r="N547" t="s">
        <v>51</v>
      </c>
      <c r="O547">
        <v>88397.54</v>
      </c>
      <c r="P547">
        <v>74253.929999999993</v>
      </c>
      <c r="Q547">
        <v>14143.61</v>
      </c>
      <c r="R547" t="s">
        <v>32</v>
      </c>
      <c r="S547">
        <f t="shared" si="24"/>
        <v>13</v>
      </c>
      <c r="T547" s="2">
        <f t="shared" si="25"/>
        <v>0.8399999592748848</v>
      </c>
      <c r="U547" s="2">
        <f t="shared" si="26"/>
        <v>0.16000004072511523</v>
      </c>
    </row>
    <row r="548" spans="1:21" x14ac:dyDescent="0.3">
      <c r="A548">
        <v>10547</v>
      </c>
      <c r="B548" t="s">
        <v>139</v>
      </c>
      <c r="C548" t="s">
        <v>140</v>
      </c>
      <c r="D548" t="s">
        <v>20</v>
      </c>
      <c r="E548">
        <v>21</v>
      </c>
      <c r="F548" t="s">
        <v>119</v>
      </c>
      <c r="G548" t="s">
        <v>60</v>
      </c>
      <c r="H548" t="s">
        <v>61</v>
      </c>
      <c r="I548" t="s">
        <v>62</v>
      </c>
      <c r="J548">
        <v>18</v>
      </c>
      <c r="K548" s="1">
        <v>45724</v>
      </c>
      <c r="L548" s="1">
        <v>45728</v>
      </c>
      <c r="M548" t="s">
        <v>96</v>
      </c>
      <c r="N548" t="s">
        <v>26</v>
      </c>
      <c r="O548">
        <v>181732.43</v>
      </c>
      <c r="P548">
        <v>141751.29999999999</v>
      </c>
      <c r="Q548">
        <v>39981.129999999997</v>
      </c>
      <c r="R548" t="s">
        <v>32</v>
      </c>
      <c r="S548">
        <f t="shared" si="24"/>
        <v>4</v>
      </c>
      <c r="T548" s="2">
        <f t="shared" si="25"/>
        <v>0.78000002531193802</v>
      </c>
      <c r="U548" s="2">
        <f t="shared" si="26"/>
        <v>0.21999997468806201</v>
      </c>
    </row>
    <row r="549" spans="1:21" x14ac:dyDescent="0.3">
      <c r="A549">
        <v>10548</v>
      </c>
      <c r="B549" t="s">
        <v>115</v>
      </c>
      <c r="C549" t="s">
        <v>116</v>
      </c>
      <c r="D549" t="s">
        <v>30</v>
      </c>
      <c r="E549">
        <v>18</v>
      </c>
      <c r="F549" t="s">
        <v>31</v>
      </c>
      <c r="G549" t="s">
        <v>55</v>
      </c>
      <c r="H549" t="s">
        <v>56</v>
      </c>
      <c r="I549" t="s">
        <v>49</v>
      </c>
      <c r="J549">
        <v>10</v>
      </c>
      <c r="K549" s="1">
        <v>45974</v>
      </c>
      <c r="L549" s="1">
        <v>45985</v>
      </c>
      <c r="M549" t="s">
        <v>85</v>
      </c>
      <c r="N549" t="s">
        <v>26</v>
      </c>
      <c r="O549">
        <v>112677.04</v>
      </c>
      <c r="P549">
        <v>92395.17</v>
      </c>
      <c r="Q549">
        <v>20281.87</v>
      </c>
      <c r="R549" t="s">
        <v>32</v>
      </c>
      <c r="S549">
        <f t="shared" si="24"/>
        <v>11</v>
      </c>
      <c r="T549" s="2">
        <f t="shared" si="25"/>
        <v>0.81999997515021694</v>
      </c>
      <c r="U549" s="2">
        <f t="shared" si="26"/>
        <v>0.18000002484978306</v>
      </c>
    </row>
    <row r="550" spans="1:21" x14ac:dyDescent="0.3">
      <c r="A550">
        <v>10549</v>
      </c>
      <c r="B550" t="s">
        <v>108</v>
      </c>
      <c r="C550" t="s">
        <v>109</v>
      </c>
      <c r="D550" t="s">
        <v>20</v>
      </c>
      <c r="E550">
        <v>34</v>
      </c>
      <c r="F550" t="s">
        <v>40</v>
      </c>
      <c r="G550" t="s">
        <v>70</v>
      </c>
      <c r="H550" t="s">
        <v>71</v>
      </c>
      <c r="I550" t="s">
        <v>43</v>
      </c>
      <c r="J550">
        <v>11</v>
      </c>
      <c r="K550" s="1">
        <v>45692</v>
      </c>
      <c r="L550" s="1">
        <v>45706</v>
      </c>
      <c r="M550" t="s">
        <v>72</v>
      </c>
      <c r="N550" t="s">
        <v>26</v>
      </c>
      <c r="O550">
        <v>8078.98</v>
      </c>
      <c r="P550">
        <v>5816.87</v>
      </c>
      <c r="Q550">
        <v>2262.11</v>
      </c>
      <c r="R550" t="s">
        <v>32</v>
      </c>
      <c r="S550">
        <f t="shared" si="24"/>
        <v>14</v>
      </c>
      <c r="T550" s="2">
        <f t="shared" si="25"/>
        <v>0.72000054462320739</v>
      </c>
      <c r="U550" s="2">
        <f t="shared" si="26"/>
        <v>0.27999945537679266</v>
      </c>
    </row>
    <row r="551" spans="1:21" x14ac:dyDescent="0.3">
      <c r="A551">
        <v>10550</v>
      </c>
      <c r="B551" t="s">
        <v>45</v>
      </c>
      <c r="C551" t="s">
        <v>46</v>
      </c>
      <c r="D551" t="s">
        <v>30</v>
      </c>
      <c r="E551">
        <v>45</v>
      </c>
      <c r="F551" t="s">
        <v>40</v>
      </c>
      <c r="G551" t="s">
        <v>60</v>
      </c>
      <c r="H551" t="s">
        <v>61</v>
      </c>
      <c r="I551" t="s">
        <v>62</v>
      </c>
      <c r="J551">
        <v>18</v>
      </c>
      <c r="K551" s="1">
        <v>45878</v>
      </c>
      <c r="L551" s="1">
        <v>45888</v>
      </c>
      <c r="M551" t="s">
        <v>77</v>
      </c>
      <c r="N551" t="s">
        <v>26</v>
      </c>
      <c r="O551">
        <v>63117.3</v>
      </c>
      <c r="P551">
        <v>42288.59</v>
      </c>
      <c r="Q551">
        <v>20828.71</v>
      </c>
      <c r="R551" t="s">
        <v>32</v>
      </c>
      <c r="S551">
        <f t="shared" si="24"/>
        <v>10</v>
      </c>
      <c r="T551" s="2">
        <f t="shared" si="25"/>
        <v>0.66999998415648321</v>
      </c>
      <c r="U551" s="2">
        <f t="shared" si="26"/>
        <v>0.33000001584351674</v>
      </c>
    </row>
    <row r="552" spans="1:21" x14ac:dyDescent="0.3">
      <c r="A552">
        <v>10551</v>
      </c>
      <c r="B552" t="s">
        <v>99</v>
      </c>
      <c r="C552" t="s">
        <v>100</v>
      </c>
      <c r="D552" t="s">
        <v>30</v>
      </c>
      <c r="E552">
        <v>68</v>
      </c>
      <c r="F552" t="s">
        <v>69</v>
      </c>
      <c r="G552" t="s">
        <v>60</v>
      </c>
      <c r="H552" t="s">
        <v>61</v>
      </c>
      <c r="I552" t="s">
        <v>62</v>
      </c>
      <c r="J552">
        <v>18</v>
      </c>
      <c r="K552" s="1">
        <v>45769</v>
      </c>
      <c r="L552" s="1">
        <v>45772</v>
      </c>
      <c r="M552" t="s">
        <v>63</v>
      </c>
      <c r="N552" t="s">
        <v>26</v>
      </c>
      <c r="O552">
        <v>22127.34</v>
      </c>
      <c r="P552">
        <v>15931.68</v>
      </c>
      <c r="Q552">
        <v>6195.66</v>
      </c>
      <c r="R552" t="s">
        <v>32</v>
      </c>
      <c r="S552">
        <f t="shared" si="24"/>
        <v>3</v>
      </c>
      <c r="T552" s="2">
        <f t="shared" si="25"/>
        <v>0.7199997830737902</v>
      </c>
      <c r="U552" s="2">
        <f t="shared" si="26"/>
        <v>0.28000021692620986</v>
      </c>
    </row>
    <row r="553" spans="1:21" x14ac:dyDescent="0.3">
      <c r="A553">
        <v>10552</v>
      </c>
      <c r="B553" t="s">
        <v>162</v>
      </c>
      <c r="C553" t="s">
        <v>91</v>
      </c>
      <c r="D553" t="s">
        <v>30</v>
      </c>
      <c r="E553">
        <v>39</v>
      </c>
      <c r="F553" t="s">
        <v>119</v>
      </c>
      <c r="G553" t="s">
        <v>70</v>
      </c>
      <c r="H553" t="s">
        <v>71</v>
      </c>
      <c r="I553" t="s">
        <v>43</v>
      </c>
      <c r="J553">
        <v>11</v>
      </c>
      <c r="K553" s="1">
        <v>45773</v>
      </c>
      <c r="L553" s="1">
        <v>45784</v>
      </c>
      <c r="M553" t="s">
        <v>44</v>
      </c>
      <c r="N553" t="s">
        <v>26</v>
      </c>
      <c r="O553">
        <v>34118.480000000003</v>
      </c>
      <c r="P553">
        <v>26612.41</v>
      </c>
      <c r="Q553">
        <v>7506.07</v>
      </c>
      <c r="R553" t="s">
        <v>32</v>
      </c>
      <c r="S553">
        <f t="shared" si="24"/>
        <v>11</v>
      </c>
      <c r="T553" s="2">
        <f t="shared" si="25"/>
        <v>0.77999987103763113</v>
      </c>
      <c r="U553" s="2">
        <f t="shared" si="26"/>
        <v>0.22000012896236876</v>
      </c>
    </row>
    <row r="554" spans="1:21" x14ac:dyDescent="0.3">
      <c r="A554">
        <v>10553</v>
      </c>
      <c r="B554" t="s">
        <v>82</v>
      </c>
      <c r="C554" t="s">
        <v>83</v>
      </c>
      <c r="D554" t="s">
        <v>20</v>
      </c>
      <c r="E554">
        <v>74</v>
      </c>
      <c r="F554" t="s">
        <v>84</v>
      </c>
      <c r="G554" t="s">
        <v>41</v>
      </c>
      <c r="H554" t="s">
        <v>42</v>
      </c>
      <c r="I554" t="s">
        <v>43</v>
      </c>
      <c r="J554">
        <v>9</v>
      </c>
      <c r="K554" s="1">
        <v>45669</v>
      </c>
      <c r="L554" s="1">
        <v>45680</v>
      </c>
      <c r="M554" t="s">
        <v>72</v>
      </c>
      <c r="N554" t="s">
        <v>26</v>
      </c>
      <c r="O554">
        <v>11668.94</v>
      </c>
      <c r="P554">
        <v>8401.64</v>
      </c>
      <c r="Q554">
        <v>3267.3</v>
      </c>
      <c r="R554" t="s">
        <v>32</v>
      </c>
      <c r="S554">
        <f t="shared" si="24"/>
        <v>11</v>
      </c>
      <c r="T554" s="2">
        <f t="shared" si="25"/>
        <v>0.72000027423227808</v>
      </c>
      <c r="U554" s="2">
        <f t="shared" si="26"/>
        <v>0.27999972576772186</v>
      </c>
    </row>
    <row r="555" spans="1:21" x14ac:dyDescent="0.3">
      <c r="A555">
        <v>10554</v>
      </c>
      <c r="B555" t="s">
        <v>158</v>
      </c>
      <c r="C555" t="s">
        <v>159</v>
      </c>
      <c r="D555" t="s">
        <v>30</v>
      </c>
      <c r="E555">
        <v>18</v>
      </c>
      <c r="F555" t="s">
        <v>35</v>
      </c>
      <c r="G555" t="s">
        <v>47</v>
      </c>
      <c r="H555" t="s">
        <v>48</v>
      </c>
      <c r="I555" t="s">
        <v>49</v>
      </c>
      <c r="J555">
        <v>8</v>
      </c>
      <c r="K555" s="1">
        <v>45835</v>
      </c>
      <c r="L555" s="1">
        <v>45847</v>
      </c>
      <c r="M555" t="s">
        <v>85</v>
      </c>
      <c r="N555" t="s">
        <v>51</v>
      </c>
      <c r="O555">
        <v>114167.03</v>
      </c>
      <c r="P555">
        <v>71925.23</v>
      </c>
      <c r="Q555">
        <v>42241.8</v>
      </c>
      <c r="R555" t="s">
        <v>32</v>
      </c>
      <c r="S555">
        <f t="shared" si="24"/>
        <v>12</v>
      </c>
      <c r="T555" s="2">
        <f t="shared" si="25"/>
        <v>0.6300000096350058</v>
      </c>
      <c r="U555" s="2">
        <f t="shared" si="26"/>
        <v>0.3699999903649942</v>
      </c>
    </row>
    <row r="556" spans="1:21" x14ac:dyDescent="0.3">
      <c r="A556">
        <v>10555</v>
      </c>
      <c r="B556" t="s">
        <v>57</v>
      </c>
      <c r="C556" t="s">
        <v>58</v>
      </c>
      <c r="D556" t="s">
        <v>20</v>
      </c>
      <c r="E556">
        <v>45</v>
      </c>
      <c r="F556" t="s">
        <v>59</v>
      </c>
      <c r="G556" t="s">
        <v>36</v>
      </c>
      <c r="H556" t="s">
        <v>37</v>
      </c>
      <c r="I556" t="s">
        <v>24</v>
      </c>
      <c r="J556">
        <v>12</v>
      </c>
      <c r="K556" s="1">
        <v>45904</v>
      </c>
      <c r="L556" s="1">
        <v>45911</v>
      </c>
      <c r="M556" t="s">
        <v>66</v>
      </c>
      <c r="N556" t="s">
        <v>26</v>
      </c>
      <c r="O556">
        <v>27136.44</v>
      </c>
      <c r="P556">
        <v>17095.96</v>
      </c>
      <c r="Q556">
        <v>10040.48</v>
      </c>
      <c r="R556" t="s">
        <v>32</v>
      </c>
      <c r="S556">
        <f t="shared" si="24"/>
        <v>7</v>
      </c>
      <c r="T556" s="2">
        <f t="shared" si="25"/>
        <v>0.63000010318228916</v>
      </c>
      <c r="U556" s="2">
        <f t="shared" si="26"/>
        <v>0.36999989681771078</v>
      </c>
    </row>
    <row r="557" spans="1:21" x14ac:dyDescent="0.3">
      <c r="A557">
        <v>10556</v>
      </c>
      <c r="B557" t="s">
        <v>104</v>
      </c>
      <c r="C557" t="s">
        <v>105</v>
      </c>
      <c r="D557" t="s">
        <v>30</v>
      </c>
      <c r="E557">
        <v>68</v>
      </c>
      <c r="F557" t="s">
        <v>21</v>
      </c>
      <c r="G557" t="s">
        <v>41</v>
      </c>
      <c r="H557" t="s">
        <v>42</v>
      </c>
      <c r="I557" t="s">
        <v>43</v>
      </c>
      <c r="J557">
        <v>9</v>
      </c>
      <c r="K557" s="1">
        <v>45895</v>
      </c>
      <c r="L557" s="1">
        <v>45907</v>
      </c>
      <c r="M557" t="s">
        <v>44</v>
      </c>
      <c r="N557" t="s">
        <v>26</v>
      </c>
      <c r="O557">
        <v>13108.94</v>
      </c>
      <c r="P557">
        <v>8782.99</v>
      </c>
      <c r="Q557">
        <v>4325.95</v>
      </c>
      <c r="R557" t="s">
        <v>32</v>
      </c>
      <c r="S557">
        <f t="shared" si="24"/>
        <v>12</v>
      </c>
      <c r="T557" s="2">
        <f t="shared" si="25"/>
        <v>0.67000001525676367</v>
      </c>
      <c r="U557" s="2">
        <f t="shared" si="26"/>
        <v>0.32999998474323627</v>
      </c>
    </row>
    <row r="558" spans="1:21" x14ac:dyDescent="0.3">
      <c r="A558">
        <v>10557</v>
      </c>
      <c r="B558" t="s">
        <v>158</v>
      </c>
      <c r="C558" t="s">
        <v>159</v>
      </c>
      <c r="D558" t="s">
        <v>30</v>
      </c>
      <c r="E558">
        <v>18</v>
      </c>
      <c r="F558" t="s">
        <v>35</v>
      </c>
      <c r="G558" t="s">
        <v>47</v>
      </c>
      <c r="H558" t="s">
        <v>48</v>
      </c>
      <c r="I558" t="s">
        <v>49</v>
      </c>
      <c r="J558">
        <v>8</v>
      </c>
      <c r="K558" s="1">
        <v>45723</v>
      </c>
      <c r="L558" s="1">
        <v>45737</v>
      </c>
      <c r="M558" t="s">
        <v>85</v>
      </c>
      <c r="N558" t="s">
        <v>26</v>
      </c>
      <c r="O558">
        <v>128883.18</v>
      </c>
      <c r="P558">
        <v>79907.570000000007</v>
      </c>
      <c r="Q558">
        <v>48975.61</v>
      </c>
      <c r="R558" t="s">
        <v>32</v>
      </c>
      <c r="S558">
        <f t="shared" si="24"/>
        <v>14</v>
      </c>
      <c r="T558" s="2">
        <f t="shared" si="25"/>
        <v>0.61999998758565711</v>
      </c>
      <c r="U558" s="2">
        <f t="shared" si="26"/>
        <v>0.380000012414343</v>
      </c>
    </row>
    <row r="559" spans="1:21" x14ac:dyDescent="0.3">
      <c r="A559">
        <v>10558</v>
      </c>
      <c r="B559" t="s">
        <v>123</v>
      </c>
      <c r="C559" t="s">
        <v>124</v>
      </c>
      <c r="D559" t="s">
        <v>30</v>
      </c>
      <c r="E559">
        <v>65</v>
      </c>
      <c r="F559" t="s">
        <v>35</v>
      </c>
      <c r="G559" t="s">
        <v>55</v>
      </c>
      <c r="H559" t="s">
        <v>56</v>
      </c>
      <c r="I559" t="s">
        <v>49</v>
      </c>
      <c r="J559">
        <v>10</v>
      </c>
      <c r="K559" s="1">
        <v>45837</v>
      </c>
      <c r="L559" s="1">
        <v>45851</v>
      </c>
      <c r="M559" t="s">
        <v>101</v>
      </c>
      <c r="N559" t="s">
        <v>51</v>
      </c>
      <c r="O559">
        <v>33455.97</v>
      </c>
      <c r="P559">
        <v>20073.580000000002</v>
      </c>
      <c r="Q559">
        <v>13382.39</v>
      </c>
      <c r="R559" t="s">
        <v>32</v>
      </c>
      <c r="S559">
        <f t="shared" si="24"/>
        <v>14</v>
      </c>
      <c r="T559" s="2">
        <f t="shared" si="25"/>
        <v>0.59999994021993686</v>
      </c>
      <c r="U559" s="2">
        <f t="shared" si="26"/>
        <v>0.40000005978006314</v>
      </c>
    </row>
    <row r="560" spans="1:21" x14ac:dyDescent="0.3">
      <c r="A560">
        <v>10559</v>
      </c>
      <c r="B560" t="s">
        <v>127</v>
      </c>
      <c r="C560" t="s">
        <v>128</v>
      </c>
      <c r="D560" t="s">
        <v>20</v>
      </c>
      <c r="E560">
        <v>41</v>
      </c>
      <c r="F560" t="s">
        <v>54</v>
      </c>
      <c r="G560" t="s">
        <v>47</v>
      </c>
      <c r="H560" t="s">
        <v>48</v>
      </c>
      <c r="I560" t="s">
        <v>49</v>
      </c>
      <c r="J560">
        <v>8</v>
      </c>
      <c r="K560" s="1">
        <v>45999</v>
      </c>
      <c r="L560" s="1">
        <v>46008</v>
      </c>
      <c r="M560" t="s">
        <v>50</v>
      </c>
      <c r="N560" t="s">
        <v>26</v>
      </c>
      <c r="O560">
        <v>304860.83</v>
      </c>
      <c r="P560">
        <v>182916.5</v>
      </c>
      <c r="Q560">
        <v>121944.33</v>
      </c>
      <c r="R560" t="s">
        <v>32</v>
      </c>
      <c r="S560">
        <f t="shared" si="24"/>
        <v>9</v>
      </c>
      <c r="T560" s="2">
        <f t="shared" si="25"/>
        <v>0.60000000656037045</v>
      </c>
      <c r="U560" s="2">
        <f t="shared" si="26"/>
        <v>0.3999999934396295</v>
      </c>
    </row>
    <row r="561" spans="1:21" x14ac:dyDescent="0.3">
      <c r="A561">
        <v>10560</v>
      </c>
      <c r="B561" t="s">
        <v>160</v>
      </c>
      <c r="C561" t="s">
        <v>161</v>
      </c>
      <c r="D561" t="s">
        <v>20</v>
      </c>
      <c r="E561">
        <v>18</v>
      </c>
      <c r="F561" t="s">
        <v>54</v>
      </c>
      <c r="G561" t="s">
        <v>47</v>
      </c>
      <c r="H561" t="s">
        <v>48</v>
      </c>
      <c r="I561" t="s">
        <v>49</v>
      </c>
      <c r="J561">
        <v>8</v>
      </c>
      <c r="K561" s="1">
        <v>46000</v>
      </c>
      <c r="L561" s="1">
        <v>46009</v>
      </c>
      <c r="M561" t="s">
        <v>50</v>
      </c>
      <c r="N561" t="s">
        <v>26</v>
      </c>
      <c r="O561">
        <v>372308.64</v>
      </c>
      <c r="P561">
        <v>256892.96</v>
      </c>
      <c r="Q561">
        <v>115415.67999999999</v>
      </c>
      <c r="R561" t="s">
        <v>27</v>
      </c>
      <c r="S561">
        <f t="shared" si="24"/>
        <v>9</v>
      </c>
      <c r="T561" s="2">
        <f t="shared" si="25"/>
        <v>0.68999999570249027</v>
      </c>
      <c r="U561" s="2">
        <f t="shared" si="26"/>
        <v>0.31000000429750968</v>
      </c>
    </row>
    <row r="562" spans="1:21" x14ac:dyDescent="0.3">
      <c r="A562">
        <v>10561</v>
      </c>
      <c r="B562" t="s">
        <v>162</v>
      </c>
      <c r="C562" t="s">
        <v>91</v>
      </c>
      <c r="D562" t="s">
        <v>30</v>
      </c>
      <c r="E562">
        <v>39</v>
      </c>
      <c r="F562" t="s">
        <v>119</v>
      </c>
      <c r="G562" t="s">
        <v>22</v>
      </c>
      <c r="H562" t="s">
        <v>23</v>
      </c>
      <c r="I562" t="s">
        <v>24</v>
      </c>
      <c r="J562">
        <v>15</v>
      </c>
      <c r="K562" s="1">
        <v>45954</v>
      </c>
      <c r="L562" s="1">
        <v>45964</v>
      </c>
      <c r="M562" t="s">
        <v>66</v>
      </c>
      <c r="N562" t="s">
        <v>26</v>
      </c>
      <c r="O562">
        <v>70832.820000000007</v>
      </c>
      <c r="P562">
        <v>57374.58</v>
      </c>
      <c r="Q562">
        <v>13458.24</v>
      </c>
      <c r="R562" t="s">
        <v>32</v>
      </c>
      <c r="S562">
        <f t="shared" si="24"/>
        <v>10</v>
      </c>
      <c r="T562" s="2">
        <f t="shared" si="25"/>
        <v>0.80999994070545256</v>
      </c>
      <c r="U562" s="2">
        <f t="shared" si="26"/>
        <v>0.19000005929454733</v>
      </c>
    </row>
    <row r="563" spans="1:21" x14ac:dyDescent="0.3">
      <c r="A563">
        <v>10562</v>
      </c>
      <c r="B563" t="s">
        <v>104</v>
      </c>
      <c r="C563" t="s">
        <v>105</v>
      </c>
      <c r="D563" t="s">
        <v>30</v>
      </c>
      <c r="E563">
        <v>68</v>
      </c>
      <c r="F563" t="s">
        <v>21</v>
      </c>
      <c r="G563" t="s">
        <v>55</v>
      </c>
      <c r="H563" t="s">
        <v>56</v>
      </c>
      <c r="I563" t="s">
        <v>49</v>
      </c>
      <c r="J563">
        <v>10</v>
      </c>
      <c r="K563" s="1">
        <v>45778</v>
      </c>
      <c r="L563" s="1">
        <v>45786</v>
      </c>
      <c r="M563" t="s">
        <v>50</v>
      </c>
      <c r="N563" t="s">
        <v>26</v>
      </c>
      <c r="O563">
        <v>370299.06</v>
      </c>
      <c r="P563">
        <v>296239.25</v>
      </c>
      <c r="Q563">
        <v>74059.81</v>
      </c>
      <c r="R563" t="s">
        <v>32</v>
      </c>
      <c r="S563">
        <f t="shared" si="24"/>
        <v>8</v>
      </c>
      <c r="T563" s="2">
        <f t="shared" si="25"/>
        <v>0.80000000540103988</v>
      </c>
      <c r="U563" s="2">
        <f t="shared" si="26"/>
        <v>0.19999999459896009</v>
      </c>
    </row>
    <row r="564" spans="1:21" x14ac:dyDescent="0.3">
      <c r="A564">
        <v>10563</v>
      </c>
      <c r="B564" t="s">
        <v>104</v>
      </c>
      <c r="C564" t="s">
        <v>105</v>
      </c>
      <c r="D564" t="s">
        <v>30</v>
      </c>
      <c r="E564">
        <v>68</v>
      </c>
      <c r="F564" t="s">
        <v>21</v>
      </c>
      <c r="G564" t="s">
        <v>88</v>
      </c>
      <c r="H564" t="s">
        <v>89</v>
      </c>
      <c r="I564" t="s">
        <v>62</v>
      </c>
      <c r="J564">
        <v>14</v>
      </c>
      <c r="K564" s="1">
        <v>45802</v>
      </c>
      <c r="L564" s="1">
        <v>45812</v>
      </c>
      <c r="M564" t="s">
        <v>96</v>
      </c>
      <c r="N564" t="s">
        <v>26</v>
      </c>
      <c r="O564">
        <v>298758.92</v>
      </c>
      <c r="P564">
        <v>185230.53</v>
      </c>
      <c r="Q564">
        <v>113528.39</v>
      </c>
      <c r="R564" t="s">
        <v>32</v>
      </c>
      <c r="S564">
        <f t="shared" si="24"/>
        <v>10</v>
      </c>
      <c r="T564" s="2">
        <f t="shared" si="25"/>
        <v>0.61999999866112787</v>
      </c>
      <c r="U564" s="2">
        <f t="shared" si="26"/>
        <v>0.38000000133887218</v>
      </c>
    </row>
    <row r="565" spans="1:21" x14ac:dyDescent="0.3">
      <c r="A565">
        <v>10564</v>
      </c>
      <c r="B565" t="s">
        <v>67</v>
      </c>
      <c r="C565" t="s">
        <v>68</v>
      </c>
      <c r="D565" t="s">
        <v>20</v>
      </c>
      <c r="E565">
        <v>33</v>
      </c>
      <c r="F565" t="s">
        <v>69</v>
      </c>
      <c r="G565" t="s">
        <v>55</v>
      </c>
      <c r="H565" t="s">
        <v>56</v>
      </c>
      <c r="I565" t="s">
        <v>49</v>
      </c>
      <c r="J565">
        <v>10</v>
      </c>
      <c r="K565" s="1">
        <v>45822</v>
      </c>
      <c r="L565" s="1">
        <v>45829</v>
      </c>
      <c r="M565" t="s">
        <v>101</v>
      </c>
      <c r="N565" t="s">
        <v>26</v>
      </c>
      <c r="O565">
        <v>37873.379999999997</v>
      </c>
      <c r="P565">
        <v>24996.43</v>
      </c>
      <c r="Q565">
        <v>12876.95</v>
      </c>
      <c r="R565" t="s">
        <v>32</v>
      </c>
      <c r="S565">
        <f t="shared" si="24"/>
        <v>7</v>
      </c>
      <c r="T565" s="2">
        <f t="shared" si="25"/>
        <v>0.65999997887698436</v>
      </c>
      <c r="U565" s="2">
        <f t="shared" si="26"/>
        <v>0.34000002112301575</v>
      </c>
    </row>
    <row r="566" spans="1:21" x14ac:dyDescent="0.3">
      <c r="A566">
        <v>10565</v>
      </c>
      <c r="B566" t="s">
        <v>86</v>
      </c>
      <c r="C566" t="s">
        <v>87</v>
      </c>
      <c r="D566" t="s">
        <v>30</v>
      </c>
      <c r="E566">
        <v>23</v>
      </c>
      <c r="F566" t="s">
        <v>31</v>
      </c>
      <c r="G566" t="s">
        <v>55</v>
      </c>
      <c r="H566" t="s">
        <v>56</v>
      </c>
      <c r="I566" t="s">
        <v>49</v>
      </c>
      <c r="J566">
        <v>10</v>
      </c>
      <c r="K566" s="1">
        <v>45675</v>
      </c>
      <c r="L566" s="1">
        <v>45688</v>
      </c>
      <c r="M566" t="s">
        <v>101</v>
      </c>
      <c r="N566" t="s">
        <v>26</v>
      </c>
      <c r="O566">
        <v>50328.08</v>
      </c>
      <c r="P566">
        <v>36236.22</v>
      </c>
      <c r="Q566">
        <v>14091.86</v>
      </c>
      <c r="R566" t="s">
        <v>32</v>
      </c>
      <c r="S566">
        <f t="shared" si="24"/>
        <v>13</v>
      </c>
      <c r="T566" s="2">
        <f t="shared" si="25"/>
        <v>0.72000004768709636</v>
      </c>
      <c r="U566" s="2">
        <f t="shared" si="26"/>
        <v>0.27999995231290364</v>
      </c>
    </row>
    <row r="567" spans="1:21" x14ac:dyDescent="0.3">
      <c r="A567">
        <v>10566</v>
      </c>
      <c r="B567" t="s">
        <v>78</v>
      </c>
      <c r="C567" t="s">
        <v>79</v>
      </c>
      <c r="D567" t="s">
        <v>20</v>
      </c>
      <c r="E567">
        <v>67</v>
      </c>
      <c r="F567" t="s">
        <v>35</v>
      </c>
      <c r="G567" t="s">
        <v>22</v>
      </c>
      <c r="H567" t="s">
        <v>23</v>
      </c>
      <c r="I567" t="s">
        <v>24</v>
      </c>
      <c r="J567">
        <v>15</v>
      </c>
      <c r="K567" s="1">
        <v>45997</v>
      </c>
      <c r="L567" s="1">
        <v>46010</v>
      </c>
      <c r="M567" t="s">
        <v>66</v>
      </c>
      <c r="N567" t="s">
        <v>26</v>
      </c>
      <c r="O567">
        <v>41184.93</v>
      </c>
      <c r="P567">
        <v>32947.94</v>
      </c>
      <c r="Q567">
        <v>8236.99</v>
      </c>
      <c r="R567" t="s">
        <v>32</v>
      </c>
      <c r="S567">
        <f t="shared" si="24"/>
        <v>13</v>
      </c>
      <c r="T567" s="2">
        <f t="shared" si="25"/>
        <v>0.7999999028770961</v>
      </c>
      <c r="U567" s="2">
        <f t="shared" si="26"/>
        <v>0.20000009712290392</v>
      </c>
    </row>
    <row r="568" spans="1:21" x14ac:dyDescent="0.3">
      <c r="A568">
        <v>10567</v>
      </c>
      <c r="B568" t="s">
        <v>123</v>
      </c>
      <c r="C568" t="s">
        <v>124</v>
      </c>
      <c r="D568" t="s">
        <v>30</v>
      </c>
      <c r="E568">
        <v>65</v>
      </c>
      <c r="F568" t="s">
        <v>35</v>
      </c>
      <c r="G568" t="s">
        <v>22</v>
      </c>
      <c r="H568" t="s">
        <v>23</v>
      </c>
      <c r="I568" t="s">
        <v>24</v>
      </c>
      <c r="J568">
        <v>15</v>
      </c>
      <c r="K568" s="1">
        <v>45812</v>
      </c>
      <c r="L568" s="1">
        <v>45817</v>
      </c>
      <c r="M568" t="s">
        <v>25</v>
      </c>
      <c r="N568" t="s">
        <v>26</v>
      </c>
      <c r="O568">
        <v>155214.51999999999</v>
      </c>
      <c r="P568">
        <v>111754.45</v>
      </c>
      <c r="Q568">
        <v>43460.07</v>
      </c>
      <c r="R568" t="s">
        <v>32</v>
      </c>
      <c r="S568">
        <f t="shared" si="24"/>
        <v>5</v>
      </c>
      <c r="T568" s="2">
        <f t="shared" si="25"/>
        <v>0.71999997165213669</v>
      </c>
      <c r="U568" s="2">
        <f t="shared" si="26"/>
        <v>0.28000002834786336</v>
      </c>
    </row>
    <row r="569" spans="1:21" x14ac:dyDescent="0.3">
      <c r="A569">
        <v>10568</v>
      </c>
      <c r="B569" t="s">
        <v>120</v>
      </c>
      <c r="C569" t="s">
        <v>74</v>
      </c>
      <c r="D569" t="s">
        <v>20</v>
      </c>
      <c r="E569">
        <v>61</v>
      </c>
      <c r="F569" t="s">
        <v>69</v>
      </c>
      <c r="G569" t="s">
        <v>41</v>
      </c>
      <c r="H569" t="s">
        <v>42</v>
      </c>
      <c r="I569" t="s">
        <v>43</v>
      </c>
      <c r="J569">
        <v>9</v>
      </c>
      <c r="K569" s="1">
        <v>45726</v>
      </c>
      <c r="L569" s="1">
        <v>45732</v>
      </c>
      <c r="M569" t="s">
        <v>72</v>
      </c>
      <c r="N569" t="s">
        <v>26</v>
      </c>
      <c r="O569">
        <v>21985.19</v>
      </c>
      <c r="P569">
        <v>14730.08</v>
      </c>
      <c r="Q569">
        <v>7255.11</v>
      </c>
      <c r="R569" t="s">
        <v>32</v>
      </c>
      <c r="S569">
        <f t="shared" si="24"/>
        <v>6</v>
      </c>
      <c r="T569" s="2">
        <f t="shared" si="25"/>
        <v>0.67000012280994614</v>
      </c>
      <c r="U569" s="2">
        <f t="shared" si="26"/>
        <v>0.32999987719005386</v>
      </c>
    </row>
    <row r="570" spans="1:21" x14ac:dyDescent="0.3">
      <c r="A570">
        <v>10569</v>
      </c>
      <c r="B570" t="s">
        <v>73</v>
      </c>
      <c r="C570" t="s">
        <v>74</v>
      </c>
      <c r="D570" t="s">
        <v>20</v>
      </c>
      <c r="E570">
        <v>53</v>
      </c>
      <c r="F570" t="s">
        <v>75</v>
      </c>
      <c r="G570" t="s">
        <v>22</v>
      </c>
      <c r="H570" t="s">
        <v>23</v>
      </c>
      <c r="I570" t="s">
        <v>24</v>
      </c>
      <c r="J570">
        <v>15</v>
      </c>
      <c r="K570" s="1">
        <v>45689</v>
      </c>
      <c r="L570" s="1">
        <v>45694</v>
      </c>
      <c r="M570" t="s">
        <v>66</v>
      </c>
      <c r="N570" t="s">
        <v>26</v>
      </c>
      <c r="O570">
        <v>75192.289999999994</v>
      </c>
      <c r="P570">
        <v>52634.6</v>
      </c>
      <c r="Q570">
        <v>22557.69</v>
      </c>
      <c r="R570" t="s">
        <v>27</v>
      </c>
      <c r="S570">
        <f t="shared" si="24"/>
        <v>5</v>
      </c>
      <c r="T570" s="2">
        <f t="shared" si="25"/>
        <v>0.69999996010229248</v>
      </c>
      <c r="U570" s="2">
        <f t="shared" si="26"/>
        <v>0.30000003989770763</v>
      </c>
    </row>
    <row r="571" spans="1:21" x14ac:dyDescent="0.3">
      <c r="A571">
        <v>10570</v>
      </c>
      <c r="B571" t="s">
        <v>123</v>
      </c>
      <c r="C571" t="s">
        <v>124</v>
      </c>
      <c r="D571" t="s">
        <v>30</v>
      </c>
      <c r="E571">
        <v>65</v>
      </c>
      <c r="F571" t="s">
        <v>35</v>
      </c>
      <c r="G571" t="s">
        <v>70</v>
      </c>
      <c r="H571" t="s">
        <v>71</v>
      </c>
      <c r="I571" t="s">
        <v>43</v>
      </c>
      <c r="J571">
        <v>11</v>
      </c>
      <c r="K571" s="1">
        <v>45808</v>
      </c>
      <c r="L571" s="1">
        <v>45820</v>
      </c>
      <c r="M571" t="s">
        <v>44</v>
      </c>
      <c r="N571" t="s">
        <v>26</v>
      </c>
      <c r="O571">
        <v>32428.62</v>
      </c>
      <c r="P571">
        <v>26915.75</v>
      </c>
      <c r="Q571">
        <v>5512.87</v>
      </c>
      <c r="R571" t="s">
        <v>32</v>
      </c>
      <c r="S571">
        <f t="shared" si="24"/>
        <v>12</v>
      </c>
      <c r="T571" s="2">
        <f t="shared" si="25"/>
        <v>0.82999985814999222</v>
      </c>
      <c r="U571" s="2">
        <f t="shared" si="26"/>
        <v>0.17000014185000781</v>
      </c>
    </row>
    <row r="572" spans="1:21" x14ac:dyDescent="0.3">
      <c r="A572">
        <v>10571</v>
      </c>
      <c r="B572" t="s">
        <v>90</v>
      </c>
      <c r="C572" t="s">
        <v>91</v>
      </c>
      <c r="D572" t="s">
        <v>20</v>
      </c>
      <c r="E572">
        <v>48</v>
      </c>
      <c r="F572" t="s">
        <v>84</v>
      </c>
      <c r="G572" t="s">
        <v>88</v>
      </c>
      <c r="H572" t="s">
        <v>89</v>
      </c>
      <c r="I572" t="s">
        <v>62</v>
      </c>
      <c r="J572">
        <v>14</v>
      </c>
      <c r="K572" s="1">
        <v>45792</v>
      </c>
      <c r="L572" s="1">
        <v>45799</v>
      </c>
      <c r="M572" t="s">
        <v>77</v>
      </c>
      <c r="N572" t="s">
        <v>26</v>
      </c>
      <c r="O572">
        <v>41143.480000000003</v>
      </c>
      <c r="P572">
        <v>32503.35</v>
      </c>
      <c r="Q572">
        <v>8640.1299999999992</v>
      </c>
      <c r="R572" t="s">
        <v>32</v>
      </c>
      <c r="S572">
        <f t="shared" si="24"/>
        <v>7</v>
      </c>
      <c r="T572" s="2">
        <f t="shared" si="25"/>
        <v>0.79000001944414999</v>
      </c>
      <c r="U572" s="2">
        <f t="shared" si="26"/>
        <v>0.20999998055584987</v>
      </c>
    </row>
    <row r="573" spans="1:21" x14ac:dyDescent="0.3">
      <c r="A573">
        <v>10572</v>
      </c>
      <c r="B573" t="s">
        <v>129</v>
      </c>
      <c r="C573" t="s">
        <v>130</v>
      </c>
      <c r="D573" t="s">
        <v>30</v>
      </c>
      <c r="E573">
        <v>28</v>
      </c>
      <c r="F573" t="s">
        <v>35</v>
      </c>
      <c r="G573" t="s">
        <v>55</v>
      </c>
      <c r="H573" t="s">
        <v>56</v>
      </c>
      <c r="I573" t="s">
        <v>49</v>
      </c>
      <c r="J573">
        <v>10</v>
      </c>
      <c r="K573" s="1">
        <v>45942</v>
      </c>
      <c r="L573" s="1">
        <v>45952</v>
      </c>
      <c r="M573" t="s">
        <v>85</v>
      </c>
      <c r="N573" t="s">
        <v>26</v>
      </c>
      <c r="O573">
        <v>109619.89</v>
      </c>
      <c r="P573">
        <v>70156.73</v>
      </c>
      <c r="Q573">
        <v>39463.160000000003</v>
      </c>
      <c r="R573" t="s">
        <v>27</v>
      </c>
      <c r="S573">
        <f t="shared" si="24"/>
        <v>10</v>
      </c>
      <c r="T573" s="2">
        <f t="shared" si="25"/>
        <v>0.6400000036489728</v>
      </c>
      <c r="U573" s="2">
        <f t="shared" si="26"/>
        <v>0.3599999963510272</v>
      </c>
    </row>
    <row r="574" spans="1:21" x14ac:dyDescent="0.3">
      <c r="A574">
        <v>10573</v>
      </c>
      <c r="B574" t="s">
        <v>162</v>
      </c>
      <c r="C574" t="s">
        <v>91</v>
      </c>
      <c r="D574" t="s">
        <v>30</v>
      </c>
      <c r="E574">
        <v>39</v>
      </c>
      <c r="F574" t="s">
        <v>119</v>
      </c>
      <c r="G574" t="s">
        <v>41</v>
      </c>
      <c r="H574" t="s">
        <v>42</v>
      </c>
      <c r="I574" t="s">
        <v>43</v>
      </c>
      <c r="J574">
        <v>9</v>
      </c>
      <c r="K574" s="1">
        <v>45790</v>
      </c>
      <c r="L574" s="1">
        <v>45796</v>
      </c>
      <c r="M574" t="s">
        <v>72</v>
      </c>
      <c r="N574" t="s">
        <v>26</v>
      </c>
      <c r="O574">
        <v>12820.89</v>
      </c>
      <c r="P574">
        <v>8974.6200000000008</v>
      </c>
      <c r="Q574">
        <v>3846.27</v>
      </c>
      <c r="R574" t="s">
        <v>32</v>
      </c>
      <c r="S574">
        <f t="shared" si="24"/>
        <v>6</v>
      </c>
      <c r="T574" s="2">
        <f t="shared" si="25"/>
        <v>0.69999976600688418</v>
      </c>
      <c r="U574" s="2">
        <f t="shared" si="26"/>
        <v>0.30000023399311593</v>
      </c>
    </row>
    <row r="575" spans="1:21" x14ac:dyDescent="0.3">
      <c r="A575">
        <v>10574</v>
      </c>
      <c r="B575" t="s">
        <v>73</v>
      </c>
      <c r="C575" t="s">
        <v>74</v>
      </c>
      <c r="D575" t="s">
        <v>20</v>
      </c>
      <c r="E575">
        <v>53</v>
      </c>
      <c r="F575" t="s">
        <v>75</v>
      </c>
      <c r="G575" t="s">
        <v>60</v>
      </c>
      <c r="H575" t="s">
        <v>61</v>
      </c>
      <c r="I575" t="s">
        <v>62</v>
      </c>
      <c r="J575">
        <v>18</v>
      </c>
      <c r="K575" s="1">
        <v>45664</v>
      </c>
      <c r="L575" s="1">
        <v>45675</v>
      </c>
      <c r="M575" t="s">
        <v>96</v>
      </c>
      <c r="N575" t="s">
        <v>26</v>
      </c>
      <c r="O575">
        <v>314865.90999999997</v>
      </c>
      <c r="P575">
        <v>204662.84</v>
      </c>
      <c r="Q575">
        <v>110203.07</v>
      </c>
      <c r="R575" t="s">
        <v>32</v>
      </c>
      <c r="S575">
        <f t="shared" si="24"/>
        <v>11</v>
      </c>
      <c r="T575" s="2">
        <f t="shared" si="25"/>
        <v>0.64999999523606733</v>
      </c>
      <c r="U575" s="2">
        <f t="shared" si="26"/>
        <v>0.35000000476393273</v>
      </c>
    </row>
    <row r="576" spans="1:21" x14ac:dyDescent="0.3">
      <c r="A576">
        <v>10575</v>
      </c>
      <c r="B576" t="s">
        <v>139</v>
      </c>
      <c r="C576" t="s">
        <v>140</v>
      </c>
      <c r="D576" t="s">
        <v>20</v>
      </c>
      <c r="E576">
        <v>21</v>
      </c>
      <c r="F576" t="s">
        <v>119</v>
      </c>
      <c r="G576" t="s">
        <v>70</v>
      </c>
      <c r="H576" t="s">
        <v>71</v>
      </c>
      <c r="I576" t="s">
        <v>43</v>
      </c>
      <c r="J576">
        <v>11</v>
      </c>
      <c r="K576" s="1">
        <v>45941</v>
      </c>
      <c r="L576" s="1">
        <v>45946</v>
      </c>
      <c r="M576" t="s">
        <v>44</v>
      </c>
      <c r="N576" t="s">
        <v>26</v>
      </c>
      <c r="O576">
        <v>15956.22</v>
      </c>
      <c r="P576">
        <v>11648.04</v>
      </c>
      <c r="Q576">
        <v>4308.18</v>
      </c>
      <c r="R576" t="s">
        <v>27</v>
      </c>
      <c r="S576">
        <f t="shared" si="24"/>
        <v>5</v>
      </c>
      <c r="T576" s="2">
        <f t="shared" si="25"/>
        <v>0.72999996239710918</v>
      </c>
      <c r="U576" s="2">
        <f t="shared" si="26"/>
        <v>0.27000003760289093</v>
      </c>
    </row>
    <row r="577" spans="1:21" x14ac:dyDescent="0.3">
      <c r="A577">
        <v>10576</v>
      </c>
      <c r="B577" t="s">
        <v>52</v>
      </c>
      <c r="C577" t="s">
        <v>53</v>
      </c>
      <c r="D577" t="s">
        <v>20</v>
      </c>
      <c r="E577">
        <v>49</v>
      </c>
      <c r="F577" t="s">
        <v>54</v>
      </c>
      <c r="G577" t="s">
        <v>60</v>
      </c>
      <c r="H577" t="s">
        <v>61</v>
      </c>
      <c r="I577" t="s">
        <v>62</v>
      </c>
      <c r="J577">
        <v>18</v>
      </c>
      <c r="K577" s="1">
        <v>45945</v>
      </c>
      <c r="L577" s="1">
        <v>45952</v>
      </c>
      <c r="M577" t="s">
        <v>96</v>
      </c>
      <c r="N577" t="s">
        <v>26</v>
      </c>
      <c r="O577">
        <v>249080.88</v>
      </c>
      <c r="P577">
        <v>204246.32</v>
      </c>
      <c r="Q577">
        <v>44834.559999999998</v>
      </c>
      <c r="R577" t="s">
        <v>27</v>
      </c>
      <c r="S577">
        <f t="shared" si="24"/>
        <v>7</v>
      </c>
      <c r="T577" s="2">
        <f t="shared" si="25"/>
        <v>0.81999999357638376</v>
      </c>
      <c r="U577" s="2">
        <f t="shared" si="26"/>
        <v>0.18000000642361627</v>
      </c>
    </row>
    <row r="578" spans="1:21" x14ac:dyDescent="0.3">
      <c r="A578">
        <v>10577</v>
      </c>
      <c r="B578" t="s">
        <v>120</v>
      </c>
      <c r="C578" t="s">
        <v>74</v>
      </c>
      <c r="D578" t="s">
        <v>20</v>
      </c>
      <c r="E578">
        <v>61</v>
      </c>
      <c r="F578" t="s">
        <v>69</v>
      </c>
      <c r="G578" t="s">
        <v>47</v>
      </c>
      <c r="H578" t="s">
        <v>48</v>
      </c>
      <c r="I578" t="s">
        <v>49</v>
      </c>
      <c r="J578">
        <v>8</v>
      </c>
      <c r="K578" s="1">
        <v>45973</v>
      </c>
      <c r="L578" s="1">
        <v>45975</v>
      </c>
      <c r="M578" t="s">
        <v>101</v>
      </c>
      <c r="N578" t="s">
        <v>26</v>
      </c>
      <c r="O578">
        <v>60545.5</v>
      </c>
      <c r="P578">
        <v>50858.22</v>
      </c>
      <c r="Q578">
        <v>9687.2800000000007</v>
      </c>
      <c r="R578" t="s">
        <v>27</v>
      </c>
      <c r="S578">
        <f t="shared" si="24"/>
        <v>2</v>
      </c>
      <c r="T578" s="2">
        <f t="shared" si="25"/>
        <v>0.84</v>
      </c>
      <c r="U578" s="2">
        <f t="shared" si="26"/>
        <v>0.16</v>
      </c>
    </row>
    <row r="579" spans="1:21" x14ac:dyDescent="0.3">
      <c r="A579">
        <v>10578</v>
      </c>
      <c r="B579" t="s">
        <v>154</v>
      </c>
      <c r="C579" t="s">
        <v>155</v>
      </c>
      <c r="D579" t="s">
        <v>30</v>
      </c>
      <c r="E579">
        <v>67</v>
      </c>
      <c r="F579" t="s">
        <v>119</v>
      </c>
      <c r="G579" t="s">
        <v>55</v>
      </c>
      <c r="H579" t="s">
        <v>56</v>
      </c>
      <c r="I579" t="s">
        <v>49</v>
      </c>
      <c r="J579">
        <v>10</v>
      </c>
      <c r="K579" s="1">
        <v>45817</v>
      </c>
      <c r="L579" s="1">
        <v>45821</v>
      </c>
      <c r="M579" t="s">
        <v>101</v>
      </c>
      <c r="N579" t="s">
        <v>26</v>
      </c>
      <c r="O579">
        <v>43739.47</v>
      </c>
      <c r="P579">
        <v>27118.47</v>
      </c>
      <c r="Q579">
        <v>16621</v>
      </c>
      <c r="R579" t="s">
        <v>27</v>
      </c>
      <c r="S579">
        <f t="shared" ref="S579:S642" si="27">L579-K579</f>
        <v>4</v>
      </c>
      <c r="T579" s="2">
        <f t="shared" ref="T579:T642" si="28">P579/O579</f>
        <v>0.61999996799229617</v>
      </c>
      <c r="U579" s="2">
        <f t="shared" ref="U579:U642" si="29">Q579/O579</f>
        <v>0.38000003200770377</v>
      </c>
    </row>
    <row r="580" spans="1:21" x14ac:dyDescent="0.3">
      <c r="A580">
        <v>10579</v>
      </c>
      <c r="B580" t="s">
        <v>99</v>
      </c>
      <c r="C580" t="s">
        <v>100</v>
      </c>
      <c r="D580" t="s">
        <v>30</v>
      </c>
      <c r="E580">
        <v>68</v>
      </c>
      <c r="F580" t="s">
        <v>69</v>
      </c>
      <c r="G580" t="s">
        <v>36</v>
      </c>
      <c r="H580" t="s">
        <v>37</v>
      </c>
      <c r="I580" t="s">
        <v>24</v>
      </c>
      <c r="J580">
        <v>12</v>
      </c>
      <c r="K580" s="1">
        <v>45975</v>
      </c>
      <c r="L580" s="1">
        <v>45982</v>
      </c>
      <c r="M580" t="s">
        <v>76</v>
      </c>
      <c r="N580" t="s">
        <v>26</v>
      </c>
      <c r="O580">
        <v>339605.16</v>
      </c>
      <c r="P580">
        <v>220743.35</v>
      </c>
      <c r="Q580">
        <v>118861.81</v>
      </c>
      <c r="R580" t="s">
        <v>32</v>
      </c>
      <c r="S580">
        <f t="shared" si="27"/>
        <v>7</v>
      </c>
      <c r="T580" s="2">
        <f t="shared" si="28"/>
        <v>0.64999998822161598</v>
      </c>
      <c r="U580" s="2">
        <f t="shared" si="29"/>
        <v>0.35000001177838408</v>
      </c>
    </row>
    <row r="581" spans="1:21" x14ac:dyDescent="0.3">
      <c r="A581">
        <v>10580</v>
      </c>
      <c r="B581" t="s">
        <v>146</v>
      </c>
      <c r="C581" t="s">
        <v>147</v>
      </c>
      <c r="D581" t="s">
        <v>30</v>
      </c>
      <c r="E581">
        <v>75</v>
      </c>
      <c r="F581" t="s">
        <v>84</v>
      </c>
      <c r="G581" t="s">
        <v>47</v>
      </c>
      <c r="H581" t="s">
        <v>48</v>
      </c>
      <c r="I581" t="s">
        <v>49</v>
      </c>
      <c r="J581">
        <v>8</v>
      </c>
      <c r="K581" s="1">
        <v>45851</v>
      </c>
      <c r="L581" s="1">
        <v>45865</v>
      </c>
      <c r="M581" t="s">
        <v>101</v>
      </c>
      <c r="N581" t="s">
        <v>26</v>
      </c>
      <c r="O581">
        <v>61298.5</v>
      </c>
      <c r="P581">
        <v>41070</v>
      </c>
      <c r="Q581">
        <v>20228.5</v>
      </c>
      <c r="R581" t="s">
        <v>32</v>
      </c>
      <c r="S581">
        <f t="shared" si="27"/>
        <v>14</v>
      </c>
      <c r="T581" s="2">
        <f t="shared" si="28"/>
        <v>0.67000008156806445</v>
      </c>
      <c r="U581" s="2">
        <f t="shared" si="29"/>
        <v>0.32999991843193555</v>
      </c>
    </row>
    <row r="582" spans="1:21" x14ac:dyDescent="0.3">
      <c r="A582">
        <v>10581</v>
      </c>
      <c r="B582" t="s">
        <v>127</v>
      </c>
      <c r="C582" t="s">
        <v>128</v>
      </c>
      <c r="D582" t="s">
        <v>20</v>
      </c>
      <c r="E582">
        <v>41</v>
      </c>
      <c r="F582" t="s">
        <v>54</v>
      </c>
      <c r="G582" t="s">
        <v>70</v>
      </c>
      <c r="H582" t="s">
        <v>71</v>
      </c>
      <c r="I582" t="s">
        <v>43</v>
      </c>
      <c r="J582">
        <v>11</v>
      </c>
      <c r="K582" s="1">
        <v>45861</v>
      </c>
      <c r="L582" s="1">
        <v>45874</v>
      </c>
      <c r="M582" t="s">
        <v>44</v>
      </c>
      <c r="N582" t="s">
        <v>51</v>
      </c>
      <c r="O582">
        <v>26159.35</v>
      </c>
      <c r="P582">
        <v>20927.48</v>
      </c>
      <c r="Q582">
        <v>5231.87</v>
      </c>
      <c r="R582" t="s">
        <v>27</v>
      </c>
      <c r="S582">
        <f t="shared" si="27"/>
        <v>13</v>
      </c>
      <c r="T582" s="2">
        <f t="shared" si="28"/>
        <v>0.8</v>
      </c>
      <c r="U582" s="2">
        <f t="shared" si="29"/>
        <v>0.2</v>
      </c>
    </row>
    <row r="583" spans="1:21" x14ac:dyDescent="0.3">
      <c r="A583">
        <v>10582</v>
      </c>
      <c r="B583" t="s">
        <v>121</v>
      </c>
      <c r="C583" t="s">
        <v>122</v>
      </c>
      <c r="D583" t="s">
        <v>20</v>
      </c>
      <c r="E583">
        <v>23</v>
      </c>
      <c r="F583" t="s">
        <v>59</v>
      </c>
      <c r="G583" t="s">
        <v>70</v>
      </c>
      <c r="H583" t="s">
        <v>71</v>
      </c>
      <c r="I583" t="s">
        <v>43</v>
      </c>
      <c r="J583">
        <v>11</v>
      </c>
      <c r="K583" s="1">
        <v>45942</v>
      </c>
      <c r="L583" s="1">
        <v>45945</v>
      </c>
      <c r="M583" t="s">
        <v>112</v>
      </c>
      <c r="N583" t="s">
        <v>26</v>
      </c>
      <c r="O583">
        <v>38838.58</v>
      </c>
      <c r="P583">
        <v>24856.69</v>
      </c>
      <c r="Q583">
        <v>13981.89</v>
      </c>
      <c r="R583" t="s">
        <v>32</v>
      </c>
      <c r="S583">
        <f t="shared" si="27"/>
        <v>3</v>
      </c>
      <c r="T583" s="2">
        <f t="shared" si="28"/>
        <v>0.63999996910288681</v>
      </c>
      <c r="U583" s="2">
        <f t="shared" si="29"/>
        <v>0.36000003089711308</v>
      </c>
    </row>
    <row r="584" spans="1:21" x14ac:dyDescent="0.3">
      <c r="A584">
        <v>10583</v>
      </c>
      <c r="B584" t="s">
        <v>139</v>
      </c>
      <c r="C584" t="s">
        <v>140</v>
      </c>
      <c r="D584" t="s">
        <v>20</v>
      </c>
      <c r="E584">
        <v>21</v>
      </c>
      <c r="F584" t="s">
        <v>119</v>
      </c>
      <c r="G584" t="s">
        <v>22</v>
      </c>
      <c r="H584" t="s">
        <v>23</v>
      </c>
      <c r="I584" t="s">
        <v>24</v>
      </c>
      <c r="J584">
        <v>15</v>
      </c>
      <c r="K584" s="1">
        <v>45955</v>
      </c>
      <c r="L584" s="1">
        <v>45967</v>
      </c>
      <c r="M584" t="s">
        <v>66</v>
      </c>
      <c r="N584" t="s">
        <v>51</v>
      </c>
      <c r="O584">
        <v>70439.45</v>
      </c>
      <c r="P584">
        <v>45081.25</v>
      </c>
      <c r="Q584">
        <v>25358.2</v>
      </c>
      <c r="R584" t="s">
        <v>32</v>
      </c>
      <c r="S584">
        <f t="shared" si="27"/>
        <v>12</v>
      </c>
      <c r="T584" s="2">
        <f t="shared" si="28"/>
        <v>0.64000002839318026</v>
      </c>
      <c r="U584" s="2">
        <f t="shared" si="29"/>
        <v>0.35999997160681979</v>
      </c>
    </row>
    <row r="585" spans="1:21" x14ac:dyDescent="0.3">
      <c r="A585">
        <v>10584</v>
      </c>
      <c r="B585" t="s">
        <v>18</v>
      </c>
      <c r="C585" t="s">
        <v>19</v>
      </c>
      <c r="D585" t="s">
        <v>20</v>
      </c>
      <c r="E585">
        <v>45</v>
      </c>
      <c r="F585" t="s">
        <v>21</v>
      </c>
      <c r="G585" t="s">
        <v>55</v>
      </c>
      <c r="H585" t="s">
        <v>56</v>
      </c>
      <c r="I585" t="s">
        <v>49</v>
      </c>
      <c r="J585">
        <v>10</v>
      </c>
      <c r="K585" s="1">
        <v>45948</v>
      </c>
      <c r="L585" s="1">
        <v>45953</v>
      </c>
      <c r="M585" t="s">
        <v>50</v>
      </c>
      <c r="N585" t="s">
        <v>26</v>
      </c>
      <c r="O585">
        <v>370715.36</v>
      </c>
      <c r="P585">
        <v>307693.75</v>
      </c>
      <c r="Q585">
        <v>63021.61</v>
      </c>
      <c r="R585" t="s">
        <v>32</v>
      </c>
      <c r="S585">
        <f t="shared" si="27"/>
        <v>5</v>
      </c>
      <c r="T585" s="2">
        <f t="shared" si="28"/>
        <v>0.83000000323698486</v>
      </c>
      <c r="U585" s="2">
        <f t="shared" si="29"/>
        <v>0.16999999676301517</v>
      </c>
    </row>
    <row r="586" spans="1:21" x14ac:dyDescent="0.3">
      <c r="A586">
        <v>10585</v>
      </c>
      <c r="B586" t="s">
        <v>150</v>
      </c>
      <c r="C586" t="s">
        <v>151</v>
      </c>
      <c r="D586" t="s">
        <v>30</v>
      </c>
      <c r="E586">
        <v>47</v>
      </c>
      <c r="F586" t="s">
        <v>54</v>
      </c>
      <c r="G586" t="s">
        <v>55</v>
      </c>
      <c r="H586" t="s">
        <v>56</v>
      </c>
      <c r="I586" t="s">
        <v>49</v>
      </c>
      <c r="J586">
        <v>10</v>
      </c>
      <c r="K586" s="1">
        <v>45726</v>
      </c>
      <c r="L586" s="1">
        <v>45731</v>
      </c>
      <c r="M586" t="s">
        <v>101</v>
      </c>
      <c r="N586" t="s">
        <v>51</v>
      </c>
      <c r="O586">
        <v>47078.6</v>
      </c>
      <c r="P586">
        <v>34367.379999999997</v>
      </c>
      <c r="Q586">
        <v>12711.22</v>
      </c>
      <c r="R586" t="s">
        <v>32</v>
      </c>
      <c r="S586">
        <f t="shared" si="27"/>
        <v>5</v>
      </c>
      <c r="T586" s="2">
        <f t="shared" si="28"/>
        <v>0.73000004248214689</v>
      </c>
      <c r="U586" s="2">
        <f t="shared" si="29"/>
        <v>0.26999995751785311</v>
      </c>
    </row>
    <row r="587" spans="1:21" x14ac:dyDescent="0.3">
      <c r="A587">
        <v>10586</v>
      </c>
      <c r="B587" t="s">
        <v>148</v>
      </c>
      <c r="C587" t="s">
        <v>149</v>
      </c>
      <c r="D587" t="s">
        <v>30</v>
      </c>
      <c r="E587">
        <v>19</v>
      </c>
      <c r="F587" t="s">
        <v>21</v>
      </c>
      <c r="G587" t="s">
        <v>60</v>
      </c>
      <c r="H587" t="s">
        <v>61</v>
      </c>
      <c r="I587" t="s">
        <v>62</v>
      </c>
      <c r="J587">
        <v>18</v>
      </c>
      <c r="K587" s="1">
        <v>45813</v>
      </c>
      <c r="L587" s="1">
        <v>45818</v>
      </c>
      <c r="M587" t="s">
        <v>77</v>
      </c>
      <c r="N587" t="s">
        <v>26</v>
      </c>
      <c r="O587">
        <v>57161.69</v>
      </c>
      <c r="P587">
        <v>45157.74</v>
      </c>
      <c r="Q587">
        <v>12003.95</v>
      </c>
      <c r="R587" t="s">
        <v>32</v>
      </c>
      <c r="S587">
        <f t="shared" si="27"/>
        <v>5</v>
      </c>
      <c r="T587" s="2">
        <f t="shared" si="28"/>
        <v>0.79000008572174818</v>
      </c>
      <c r="U587" s="2">
        <f t="shared" si="29"/>
        <v>0.20999991427825174</v>
      </c>
    </row>
    <row r="588" spans="1:21" x14ac:dyDescent="0.3">
      <c r="A588">
        <v>10587</v>
      </c>
      <c r="B588" t="s">
        <v>135</v>
      </c>
      <c r="C588" t="s">
        <v>136</v>
      </c>
      <c r="D588" t="s">
        <v>30</v>
      </c>
      <c r="E588">
        <v>52</v>
      </c>
      <c r="F588" t="s">
        <v>35</v>
      </c>
      <c r="G588" t="s">
        <v>55</v>
      </c>
      <c r="H588" t="s">
        <v>56</v>
      </c>
      <c r="I588" t="s">
        <v>49</v>
      </c>
      <c r="J588">
        <v>10</v>
      </c>
      <c r="K588" s="1">
        <v>45672</v>
      </c>
      <c r="L588" s="1">
        <v>45676</v>
      </c>
      <c r="M588" t="s">
        <v>101</v>
      </c>
      <c r="N588" t="s">
        <v>51</v>
      </c>
      <c r="O588">
        <v>60479.85</v>
      </c>
      <c r="P588">
        <v>43545.49</v>
      </c>
      <c r="Q588">
        <v>16934.36</v>
      </c>
      <c r="R588" t="s">
        <v>27</v>
      </c>
      <c r="S588">
        <f t="shared" si="27"/>
        <v>4</v>
      </c>
      <c r="T588" s="2">
        <f t="shared" si="28"/>
        <v>0.71999996693113488</v>
      </c>
      <c r="U588" s="2">
        <f t="shared" si="29"/>
        <v>0.28000003306886512</v>
      </c>
    </row>
    <row r="589" spans="1:21" x14ac:dyDescent="0.3">
      <c r="A589">
        <v>10588</v>
      </c>
      <c r="B589" t="s">
        <v>139</v>
      </c>
      <c r="C589" t="s">
        <v>140</v>
      </c>
      <c r="D589" t="s">
        <v>20</v>
      </c>
      <c r="E589">
        <v>21</v>
      </c>
      <c r="F589" t="s">
        <v>119</v>
      </c>
      <c r="G589" t="s">
        <v>47</v>
      </c>
      <c r="H589" t="s">
        <v>48</v>
      </c>
      <c r="I589" t="s">
        <v>49</v>
      </c>
      <c r="J589">
        <v>8</v>
      </c>
      <c r="K589" s="1">
        <v>45877</v>
      </c>
      <c r="L589" s="1">
        <v>45887</v>
      </c>
      <c r="M589" t="s">
        <v>101</v>
      </c>
      <c r="N589" t="s">
        <v>26</v>
      </c>
      <c r="O589">
        <v>28057.67</v>
      </c>
      <c r="P589">
        <v>20482.099999999999</v>
      </c>
      <c r="Q589">
        <v>7575.57</v>
      </c>
      <c r="R589" t="s">
        <v>32</v>
      </c>
      <c r="S589">
        <f t="shared" si="27"/>
        <v>10</v>
      </c>
      <c r="T589" s="2">
        <f t="shared" si="28"/>
        <v>0.73000003207679043</v>
      </c>
      <c r="U589" s="2">
        <f t="shared" si="29"/>
        <v>0.26999996792320957</v>
      </c>
    </row>
    <row r="590" spans="1:21" x14ac:dyDescent="0.3">
      <c r="A590">
        <v>10589</v>
      </c>
      <c r="B590" t="s">
        <v>115</v>
      </c>
      <c r="C590" t="s">
        <v>116</v>
      </c>
      <c r="D590" t="s">
        <v>30</v>
      </c>
      <c r="E590">
        <v>18</v>
      </c>
      <c r="F590" t="s">
        <v>31</v>
      </c>
      <c r="G590" t="s">
        <v>41</v>
      </c>
      <c r="H590" t="s">
        <v>42</v>
      </c>
      <c r="I590" t="s">
        <v>43</v>
      </c>
      <c r="J590">
        <v>9</v>
      </c>
      <c r="K590" s="1">
        <v>45688</v>
      </c>
      <c r="L590" s="1">
        <v>45697</v>
      </c>
      <c r="M590" t="s">
        <v>44</v>
      </c>
      <c r="N590" t="s">
        <v>51</v>
      </c>
      <c r="O590">
        <v>18544.64</v>
      </c>
      <c r="P590">
        <v>14650.27</v>
      </c>
      <c r="Q590">
        <v>3894.37</v>
      </c>
      <c r="R590" t="s">
        <v>32</v>
      </c>
      <c r="S590">
        <f t="shared" si="27"/>
        <v>9</v>
      </c>
      <c r="T590" s="2">
        <f t="shared" si="28"/>
        <v>0.79000023726532309</v>
      </c>
      <c r="U590" s="2">
        <f t="shared" si="29"/>
        <v>0.20999976273467696</v>
      </c>
    </row>
    <row r="591" spans="1:21" x14ac:dyDescent="0.3">
      <c r="A591">
        <v>10590</v>
      </c>
      <c r="B591" t="s">
        <v>148</v>
      </c>
      <c r="C591" t="s">
        <v>149</v>
      </c>
      <c r="D591" t="s">
        <v>30</v>
      </c>
      <c r="E591">
        <v>19</v>
      </c>
      <c r="F591" t="s">
        <v>21</v>
      </c>
      <c r="G591" t="s">
        <v>60</v>
      </c>
      <c r="H591" t="s">
        <v>61</v>
      </c>
      <c r="I591" t="s">
        <v>62</v>
      </c>
      <c r="J591">
        <v>18</v>
      </c>
      <c r="K591" s="1">
        <v>45873</v>
      </c>
      <c r="L591" s="1">
        <v>45876</v>
      </c>
      <c r="M591" t="s">
        <v>63</v>
      </c>
      <c r="N591" t="s">
        <v>26</v>
      </c>
      <c r="O591">
        <v>33226.550000000003</v>
      </c>
      <c r="P591">
        <v>20600.46</v>
      </c>
      <c r="Q591">
        <v>12626.09</v>
      </c>
      <c r="R591" t="s">
        <v>32</v>
      </c>
      <c r="S591">
        <f t="shared" si="27"/>
        <v>3</v>
      </c>
      <c r="T591" s="2">
        <f t="shared" si="28"/>
        <v>0.61999996990358608</v>
      </c>
      <c r="U591" s="2">
        <f t="shared" si="29"/>
        <v>0.38000003009641381</v>
      </c>
    </row>
    <row r="592" spans="1:21" x14ac:dyDescent="0.3">
      <c r="A592">
        <v>10591</v>
      </c>
      <c r="B592" t="s">
        <v>73</v>
      </c>
      <c r="C592" t="s">
        <v>74</v>
      </c>
      <c r="D592" t="s">
        <v>20</v>
      </c>
      <c r="E592">
        <v>53</v>
      </c>
      <c r="F592" t="s">
        <v>75</v>
      </c>
      <c r="G592" t="s">
        <v>22</v>
      </c>
      <c r="H592" t="s">
        <v>23</v>
      </c>
      <c r="I592" t="s">
        <v>24</v>
      </c>
      <c r="J592">
        <v>15</v>
      </c>
      <c r="K592" s="1">
        <v>45725</v>
      </c>
      <c r="L592" s="1">
        <v>45729</v>
      </c>
      <c r="M592" t="s">
        <v>76</v>
      </c>
      <c r="N592" t="s">
        <v>26</v>
      </c>
      <c r="O592">
        <v>202831.86</v>
      </c>
      <c r="P592">
        <v>135897.35</v>
      </c>
      <c r="Q592">
        <v>66934.509999999995</v>
      </c>
      <c r="R592" t="s">
        <v>32</v>
      </c>
      <c r="S592">
        <f t="shared" si="27"/>
        <v>4</v>
      </c>
      <c r="T592" s="2">
        <f t="shared" si="28"/>
        <v>0.67000001873472947</v>
      </c>
      <c r="U592" s="2">
        <f t="shared" si="29"/>
        <v>0.32999998126527064</v>
      </c>
    </row>
    <row r="593" spans="1:21" x14ac:dyDescent="0.3">
      <c r="A593">
        <v>10592</v>
      </c>
      <c r="B593" t="s">
        <v>160</v>
      </c>
      <c r="C593" t="s">
        <v>161</v>
      </c>
      <c r="D593" t="s">
        <v>20</v>
      </c>
      <c r="E593">
        <v>18</v>
      </c>
      <c r="F593" t="s">
        <v>54</v>
      </c>
      <c r="G593" t="s">
        <v>22</v>
      </c>
      <c r="H593" t="s">
        <v>23</v>
      </c>
      <c r="I593" t="s">
        <v>24</v>
      </c>
      <c r="J593">
        <v>15</v>
      </c>
      <c r="K593" s="1">
        <v>45863</v>
      </c>
      <c r="L593" s="1">
        <v>45868</v>
      </c>
      <c r="M593" t="s">
        <v>66</v>
      </c>
      <c r="N593" t="s">
        <v>51</v>
      </c>
      <c r="O593">
        <v>43632.92</v>
      </c>
      <c r="P593">
        <v>30979.37</v>
      </c>
      <c r="Q593">
        <v>12653.55</v>
      </c>
      <c r="R593" t="s">
        <v>32</v>
      </c>
      <c r="S593">
        <f t="shared" si="27"/>
        <v>5</v>
      </c>
      <c r="T593" s="2">
        <f t="shared" si="28"/>
        <v>0.70999992666087897</v>
      </c>
      <c r="U593" s="2">
        <f t="shared" si="29"/>
        <v>0.29000007333912103</v>
      </c>
    </row>
    <row r="594" spans="1:21" x14ac:dyDescent="0.3">
      <c r="A594">
        <v>10593</v>
      </c>
      <c r="B594" t="s">
        <v>78</v>
      </c>
      <c r="C594" t="s">
        <v>79</v>
      </c>
      <c r="D594" t="s">
        <v>20</v>
      </c>
      <c r="E594">
        <v>67</v>
      </c>
      <c r="F594" t="s">
        <v>35</v>
      </c>
      <c r="G594" t="s">
        <v>70</v>
      </c>
      <c r="H594" t="s">
        <v>71</v>
      </c>
      <c r="I594" t="s">
        <v>43</v>
      </c>
      <c r="J594">
        <v>11</v>
      </c>
      <c r="K594" s="1">
        <v>45666</v>
      </c>
      <c r="L594" s="1">
        <v>45675</v>
      </c>
      <c r="M594" t="s">
        <v>72</v>
      </c>
      <c r="N594" t="s">
        <v>26</v>
      </c>
      <c r="O594">
        <v>18080.439999999999</v>
      </c>
      <c r="P594">
        <v>11752.29</v>
      </c>
      <c r="Q594">
        <v>6328.15</v>
      </c>
      <c r="R594" t="s">
        <v>27</v>
      </c>
      <c r="S594">
        <f t="shared" si="27"/>
        <v>9</v>
      </c>
      <c r="T594" s="2">
        <f t="shared" si="28"/>
        <v>0.65000022123355417</v>
      </c>
      <c r="U594" s="2">
        <f t="shared" si="29"/>
        <v>0.34999977876644595</v>
      </c>
    </row>
    <row r="595" spans="1:21" x14ac:dyDescent="0.3">
      <c r="A595">
        <v>10594</v>
      </c>
      <c r="B595" t="s">
        <v>106</v>
      </c>
      <c r="C595" t="s">
        <v>107</v>
      </c>
      <c r="D595" t="s">
        <v>30</v>
      </c>
      <c r="E595">
        <v>37</v>
      </c>
      <c r="F595" t="s">
        <v>31</v>
      </c>
      <c r="G595" t="s">
        <v>22</v>
      </c>
      <c r="H595" t="s">
        <v>23</v>
      </c>
      <c r="I595" t="s">
        <v>24</v>
      </c>
      <c r="J595">
        <v>15</v>
      </c>
      <c r="K595" s="1">
        <v>45775</v>
      </c>
      <c r="L595" s="1">
        <v>45787</v>
      </c>
      <c r="M595" t="s">
        <v>76</v>
      </c>
      <c r="N595" t="s">
        <v>26</v>
      </c>
      <c r="O595">
        <v>361379.88</v>
      </c>
      <c r="P595">
        <v>267421.11</v>
      </c>
      <c r="Q595">
        <v>93958.77</v>
      </c>
      <c r="R595" t="s">
        <v>27</v>
      </c>
      <c r="S595">
        <f t="shared" si="27"/>
        <v>12</v>
      </c>
      <c r="T595" s="2">
        <f t="shared" si="28"/>
        <v>0.73999999667939453</v>
      </c>
      <c r="U595" s="2">
        <f t="shared" si="29"/>
        <v>0.26000000332060547</v>
      </c>
    </row>
    <row r="596" spans="1:21" x14ac:dyDescent="0.3">
      <c r="A596">
        <v>10595</v>
      </c>
      <c r="B596" t="s">
        <v>156</v>
      </c>
      <c r="C596" t="s">
        <v>157</v>
      </c>
      <c r="D596" t="s">
        <v>30</v>
      </c>
      <c r="E596">
        <v>47</v>
      </c>
      <c r="F596" t="s">
        <v>40</v>
      </c>
      <c r="G596" t="s">
        <v>41</v>
      </c>
      <c r="H596" t="s">
        <v>42</v>
      </c>
      <c r="I596" t="s">
        <v>43</v>
      </c>
      <c r="J596">
        <v>9</v>
      </c>
      <c r="K596" s="1">
        <v>45697</v>
      </c>
      <c r="L596" s="1">
        <v>45707</v>
      </c>
      <c r="M596" t="s">
        <v>72</v>
      </c>
      <c r="N596" t="s">
        <v>26</v>
      </c>
      <c r="O596">
        <v>17444.490000000002</v>
      </c>
      <c r="P596">
        <v>11164.47</v>
      </c>
      <c r="Q596">
        <v>6280.02</v>
      </c>
      <c r="R596" t="s">
        <v>27</v>
      </c>
      <c r="S596">
        <f t="shared" si="27"/>
        <v>10</v>
      </c>
      <c r="T596" s="2">
        <f t="shared" si="28"/>
        <v>0.63999979363111204</v>
      </c>
      <c r="U596" s="2">
        <f t="shared" si="29"/>
        <v>0.3600002063688878</v>
      </c>
    </row>
    <row r="597" spans="1:21" x14ac:dyDescent="0.3">
      <c r="A597">
        <v>10596</v>
      </c>
      <c r="B597" t="s">
        <v>106</v>
      </c>
      <c r="C597" t="s">
        <v>107</v>
      </c>
      <c r="D597" t="s">
        <v>30</v>
      </c>
      <c r="E597">
        <v>37</v>
      </c>
      <c r="F597" t="s">
        <v>31</v>
      </c>
      <c r="G597" t="s">
        <v>41</v>
      </c>
      <c r="H597" t="s">
        <v>42</v>
      </c>
      <c r="I597" t="s">
        <v>43</v>
      </c>
      <c r="J597">
        <v>9</v>
      </c>
      <c r="K597" s="1">
        <v>45785</v>
      </c>
      <c r="L597" s="1">
        <v>45792</v>
      </c>
      <c r="M597" t="s">
        <v>72</v>
      </c>
      <c r="N597" t="s">
        <v>26</v>
      </c>
      <c r="O597">
        <v>22114.12</v>
      </c>
      <c r="P597">
        <v>18354.72</v>
      </c>
      <c r="Q597">
        <v>3759.4</v>
      </c>
      <c r="R597" t="s">
        <v>27</v>
      </c>
      <c r="S597">
        <f t="shared" si="27"/>
        <v>7</v>
      </c>
      <c r="T597" s="2">
        <f t="shared" si="28"/>
        <v>0.83000001808799095</v>
      </c>
      <c r="U597" s="2">
        <f t="shared" si="29"/>
        <v>0.16999998191200918</v>
      </c>
    </row>
    <row r="598" spans="1:21" x14ac:dyDescent="0.3">
      <c r="A598">
        <v>10597</v>
      </c>
      <c r="B598" t="s">
        <v>64</v>
      </c>
      <c r="C598" t="s">
        <v>65</v>
      </c>
      <c r="D598" t="s">
        <v>20</v>
      </c>
      <c r="E598">
        <v>27</v>
      </c>
      <c r="F598" t="s">
        <v>31</v>
      </c>
      <c r="G598" t="s">
        <v>22</v>
      </c>
      <c r="H598" t="s">
        <v>23</v>
      </c>
      <c r="I598" t="s">
        <v>24</v>
      </c>
      <c r="J598">
        <v>15</v>
      </c>
      <c r="K598" s="1">
        <v>45735</v>
      </c>
      <c r="L598" s="1">
        <v>45740</v>
      </c>
      <c r="M598" t="s">
        <v>25</v>
      </c>
      <c r="N598" t="s">
        <v>26</v>
      </c>
      <c r="O598">
        <v>225676.33</v>
      </c>
      <c r="P598">
        <v>169257.25</v>
      </c>
      <c r="Q598">
        <v>56419.08</v>
      </c>
      <c r="R598" t="s">
        <v>32</v>
      </c>
      <c r="S598">
        <f t="shared" si="27"/>
        <v>5</v>
      </c>
      <c r="T598" s="2">
        <f t="shared" si="28"/>
        <v>0.75000001107781222</v>
      </c>
      <c r="U598" s="2">
        <f t="shared" si="29"/>
        <v>0.24999998892218783</v>
      </c>
    </row>
    <row r="599" spans="1:21" x14ac:dyDescent="0.3">
      <c r="A599">
        <v>10598</v>
      </c>
      <c r="B599" t="s">
        <v>154</v>
      </c>
      <c r="C599" t="s">
        <v>155</v>
      </c>
      <c r="D599" t="s">
        <v>30</v>
      </c>
      <c r="E599">
        <v>67</v>
      </c>
      <c r="F599" t="s">
        <v>119</v>
      </c>
      <c r="G599" t="s">
        <v>22</v>
      </c>
      <c r="H599" t="s">
        <v>23</v>
      </c>
      <c r="I599" t="s">
        <v>24</v>
      </c>
      <c r="J599">
        <v>15</v>
      </c>
      <c r="K599" s="1">
        <v>45927</v>
      </c>
      <c r="L599" s="1">
        <v>45937</v>
      </c>
      <c r="M599" t="s">
        <v>25</v>
      </c>
      <c r="N599" t="s">
        <v>26</v>
      </c>
      <c r="O599">
        <v>215187.4</v>
      </c>
      <c r="P599">
        <v>144175.56</v>
      </c>
      <c r="Q599">
        <v>71011.839999999997</v>
      </c>
      <c r="R599" t="s">
        <v>32</v>
      </c>
      <c r="S599">
        <f t="shared" si="27"/>
        <v>10</v>
      </c>
      <c r="T599" s="2">
        <f t="shared" si="28"/>
        <v>0.67000000929422443</v>
      </c>
      <c r="U599" s="2">
        <f t="shared" si="29"/>
        <v>0.32999999070577551</v>
      </c>
    </row>
    <row r="600" spans="1:21" x14ac:dyDescent="0.3">
      <c r="A600">
        <v>10599</v>
      </c>
      <c r="B600" t="s">
        <v>82</v>
      </c>
      <c r="C600" t="s">
        <v>83</v>
      </c>
      <c r="D600" t="s">
        <v>20</v>
      </c>
      <c r="E600">
        <v>74</v>
      </c>
      <c r="F600" t="s">
        <v>84</v>
      </c>
      <c r="G600" t="s">
        <v>36</v>
      </c>
      <c r="H600" t="s">
        <v>37</v>
      </c>
      <c r="I600" t="s">
        <v>24</v>
      </c>
      <c r="J600">
        <v>12</v>
      </c>
      <c r="K600" s="1">
        <v>45912</v>
      </c>
      <c r="L600" s="1">
        <v>45920</v>
      </c>
      <c r="M600" t="s">
        <v>25</v>
      </c>
      <c r="N600" t="s">
        <v>26</v>
      </c>
      <c r="O600">
        <v>243992.38</v>
      </c>
      <c r="P600">
        <v>153715.20000000001</v>
      </c>
      <c r="Q600">
        <v>90277.18</v>
      </c>
      <c r="R600" t="s">
        <v>32</v>
      </c>
      <c r="S600">
        <f t="shared" si="27"/>
        <v>8</v>
      </c>
      <c r="T600" s="2">
        <f t="shared" si="28"/>
        <v>0.63000000245909327</v>
      </c>
      <c r="U600" s="2">
        <f t="shared" si="29"/>
        <v>0.36999999754090679</v>
      </c>
    </row>
    <row r="601" spans="1:21" x14ac:dyDescent="0.3">
      <c r="A601">
        <v>10600</v>
      </c>
      <c r="B601" t="s">
        <v>125</v>
      </c>
      <c r="C601" t="s">
        <v>126</v>
      </c>
      <c r="D601" t="s">
        <v>30</v>
      </c>
      <c r="E601">
        <v>73</v>
      </c>
      <c r="F601" t="s">
        <v>21</v>
      </c>
      <c r="G601" t="s">
        <v>70</v>
      </c>
      <c r="H601" t="s">
        <v>71</v>
      </c>
      <c r="I601" t="s">
        <v>43</v>
      </c>
      <c r="J601">
        <v>11</v>
      </c>
      <c r="K601" s="1">
        <v>45780</v>
      </c>
      <c r="L601" s="1">
        <v>45783</v>
      </c>
      <c r="M601" t="s">
        <v>72</v>
      </c>
      <c r="N601" t="s">
        <v>51</v>
      </c>
      <c r="O601">
        <v>14150.98</v>
      </c>
      <c r="P601">
        <v>8915.1200000000008</v>
      </c>
      <c r="Q601">
        <v>5235.8599999999997</v>
      </c>
      <c r="R601" t="s">
        <v>32</v>
      </c>
      <c r="S601">
        <f t="shared" si="27"/>
        <v>3</v>
      </c>
      <c r="T601" s="2">
        <f t="shared" si="28"/>
        <v>0.63000018373285815</v>
      </c>
      <c r="U601" s="2">
        <f t="shared" si="29"/>
        <v>0.3699998162671419</v>
      </c>
    </row>
    <row r="602" spans="1:21" x14ac:dyDescent="0.3">
      <c r="A602">
        <v>10601</v>
      </c>
      <c r="B602" t="s">
        <v>33</v>
      </c>
      <c r="C602" t="s">
        <v>34</v>
      </c>
      <c r="D602" t="s">
        <v>20</v>
      </c>
      <c r="E602">
        <v>26</v>
      </c>
      <c r="F602" t="s">
        <v>35</v>
      </c>
      <c r="G602" t="s">
        <v>55</v>
      </c>
      <c r="H602" t="s">
        <v>56</v>
      </c>
      <c r="I602" t="s">
        <v>49</v>
      </c>
      <c r="J602">
        <v>10</v>
      </c>
      <c r="K602" s="1">
        <v>45910</v>
      </c>
      <c r="L602" s="1">
        <v>45920</v>
      </c>
      <c r="M602" t="s">
        <v>101</v>
      </c>
      <c r="N602" t="s">
        <v>51</v>
      </c>
      <c r="O602">
        <v>34990.32</v>
      </c>
      <c r="P602">
        <v>22043.9</v>
      </c>
      <c r="Q602">
        <v>12946.42</v>
      </c>
      <c r="R602" t="s">
        <v>32</v>
      </c>
      <c r="S602">
        <f t="shared" si="27"/>
        <v>10</v>
      </c>
      <c r="T602" s="2">
        <f t="shared" si="28"/>
        <v>0.62999995427306754</v>
      </c>
      <c r="U602" s="2">
        <f t="shared" si="29"/>
        <v>0.37000004572693246</v>
      </c>
    </row>
    <row r="603" spans="1:21" x14ac:dyDescent="0.3">
      <c r="A603">
        <v>10602</v>
      </c>
      <c r="B603" t="s">
        <v>86</v>
      </c>
      <c r="C603" t="s">
        <v>87</v>
      </c>
      <c r="D603" t="s">
        <v>30</v>
      </c>
      <c r="E603">
        <v>23</v>
      </c>
      <c r="F603" t="s">
        <v>31</v>
      </c>
      <c r="G603" t="s">
        <v>60</v>
      </c>
      <c r="H603" t="s">
        <v>61</v>
      </c>
      <c r="I603" t="s">
        <v>62</v>
      </c>
      <c r="J603">
        <v>18</v>
      </c>
      <c r="K603" s="1">
        <v>45929</v>
      </c>
      <c r="L603" s="1">
        <v>45943</v>
      </c>
      <c r="M603" t="s">
        <v>96</v>
      </c>
      <c r="N603" t="s">
        <v>26</v>
      </c>
      <c r="O603">
        <v>204982.94</v>
      </c>
      <c r="P603">
        <v>143488.06</v>
      </c>
      <c r="Q603">
        <v>61494.879999999997</v>
      </c>
      <c r="R603" t="s">
        <v>32</v>
      </c>
      <c r="S603">
        <f t="shared" si="27"/>
        <v>14</v>
      </c>
      <c r="T603" s="2">
        <f t="shared" si="28"/>
        <v>0.70000000975690946</v>
      </c>
      <c r="U603" s="2">
        <f t="shared" si="29"/>
        <v>0.29999999024309043</v>
      </c>
    </row>
    <row r="604" spans="1:21" x14ac:dyDescent="0.3">
      <c r="A604">
        <v>10603</v>
      </c>
      <c r="B604" t="s">
        <v>154</v>
      </c>
      <c r="C604" t="s">
        <v>155</v>
      </c>
      <c r="D604" t="s">
        <v>30</v>
      </c>
      <c r="E604">
        <v>67</v>
      </c>
      <c r="F604" t="s">
        <v>119</v>
      </c>
      <c r="G604" t="s">
        <v>47</v>
      </c>
      <c r="H604" t="s">
        <v>48</v>
      </c>
      <c r="I604" t="s">
        <v>49</v>
      </c>
      <c r="J604">
        <v>8</v>
      </c>
      <c r="K604" s="1">
        <v>45993</v>
      </c>
      <c r="L604" s="1">
        <v>46003</v>
      </c>
      <c r="M604" t="s">
        <v>50</v>
      </c>
      <c r="N604" t="s">
        <v>26</v>
      </c>
      <c r="O604">
        <v>150283.18</v>
      </c>
      <c r="P604">
        <v>112712.38</v>
      </c>
      <c r="Q604">
        <v>37570.800000000003</v>
      </c>
      <c r="R604" t="s">
        <v>32</v>
      </c>
      <c r="S604">
        <f t="shared" si="27"/>
        <v>10</v>
      </c>
      <c r="T604" s="2">
        <f t="shared" si="28"/>
        <v>0.749999966729477</v>
      </c>
      <c r="U604" s="2">
        <f t="shared" si="29"/>
        <v>0.25000003327052306</v>
      </c>
    </row>
    <row r="605" spans="1:21" x14ac:dyDescent="0.3">
      <c r="A605">
        <v>10604</v>
      </c>
      <c r="B605" t="s">
        <v>160</v>
      </c>
      <c r="C605" t="s">
        <v>161</v>
      </c>
      <c r="D605" t="s">
        <v>20</v>
      </c>
      <c r="E605">
        <v>18</v>
      </c>
      <c r="F605" t="s">
        <v>54</v>
      </c>
      <c r="G605" t="s">
        <v>88</v>
      </c>
      <c r="H605" t="s">
        <v>89</v>
      </c>
      <c r="I605" t="s">
        <v>62</v>
      </c>
      <c r="J605">
        <v>14</v>
      </c>
      <c r="K605" s="1">
        <v>45754</v>
      </c>
      <c r="L605" s="1">
        <v>45765</v>
      </c>
      <c r="M605" t="s">
        <v>63</v>
      </c>
      <c r="N605" t="s">
        <v>51</v>
      </c>
      <c r="O605">
        <v>43434.85</v>
      </c>
      <c r="P605">
        <v>33444.83</v>
      </c>
      <c r="Q605">
        <v>9990.02</v>
      </c>
      <c r="R605" t="s">
        <v>27</v>
      </c>
      <c r="S605">
        <f t="shared" si="27"/>
        <v>11</v>
      </c>
      <c r="T605" s="2">
        <f t="shared" si="28"/>
        <v>0.76999989639655719</v>
      </c>
      <c r="U605" s="2">
        <f t="shared" si="29"/>
        <v>0.23000010360344286</v>
      </c>
    </row>
    <row r="606" spans="1:21" x14ac:dyDescent="0.3">
      <c r="A606">
        <v>10605</v>
      </c>
      <c r="B606" t="s">
        <v>45</v>
      </c>
      <c r="C606" t="s">
        <v>46</v>
      </c>
      <c r="D606" t="s">
        <v>30</v>
      </c>
      <c r="E606">
        <v>45</v>
      </c>
      <c r="F606" t="s">
        <v>40</v>
      </c>
      <c r="G606" t="s">
        <v>55</v>
      </c>
      <c r="H606" t="s">
        <v>56</v>
      </c>
      <c r="I606" t="s">
        <v>49</v>
      </c>
      <c r="J606">
        <v>10</v>
      </c>
      <c r="K606" s="1">
        <v>45947</v>
      </c>
      <c r="L606" s="1">
        <v>45952</v>
      </c>
      <c r="M606" t="s">
        <v>101</v>
      </c>
      <c r="N606" t="s">
        <v>26</v>
      </c>
      <c r="O606">
        <v>64855.58</v>
      </c>
      <c r="P606">
        <v>53830.13</v>
      </c>
      <c r="Q606">
        <v>11025.45</v>
      </c>
      <c r="R606" t="s">
        <v>32</v>
      </c>
      <c r="S606">
        <f t="shared" si="27"/>
        <v>5</v>
      </c>
      <c r="T606" s="2">
        <f t="shared" si="28"/>
        <v>0.82999997841357664</v>
      </c>
      <c r="U606" s="2">
        <f t="shared" si="29"/>
        <v>0.17000002158642324</v>
      </c>
    </row>
    <row r="607" spans="1:21" x14ac:dyDescent="0.3">
      <c r="A607">
        <v>10606</v>
      </c>
      <c r="B607" t="s">
        <v>133</v>
      </c>
      <c r="C607" t="s">
        <v>134</v>
      </c>
      <c r="D607" t="s">
        <v>20</v>
      </c>
      <c r="E607">
        <v>56</v>
      </c>
      <c r="F607" t="s">
        <v>40</v>
      </c>
      <c r="G607" t="s">
        <v>70</v>
      </c>
      <c r="H607" t="s">
        <v>71</v>
      </c>
      <c r="I607" t="s">
        <v>43</v>
      </c>
      <c r="J607">
        <v>11</v>
      </c>
      <c r="K607" s="1">
        <v>45911</v>
      </c>
      <c r="L607" s="1">
        <v>45924</v>
      </c>
      <c r="M607" t="s">
        <v>112</v>
      </c>
      <c r="N607" t="s">
        <v>26</v>
      </c>
      <c r="O607">
        <v>28588.75</v>
      </c>
      <c r="P607">
        <v>19154.46</v>
      </c>
      <c r="Q607">
        <v>9434.2900000000009</v>
      </c>
      <c r="R607" t="s">
        <v>32</v>
      </c>
      <c r="S607">
        <f t="shared" si="27"/>
        <v>13</v>
      </c>
      <c r="T607" s="2">
        <f t="shared" si="28"/>
        <v>0.66999991255301472</v>
      </c>
      <c r="U607" s="2">
        <f t="shared" si="29"/>
        <v>0.33000008744698528</v>
      </c>
    </row>
    <row r="608" spans="1:21" x14ac:dyDescent="0.3">
      <c r="A608">
        <v>10607</v>
      </c>
      <c r="B608" t="s">
        <v>156</v>
      </c>
      <c r="C608" t="s">
        <v>157</v>
      </c>
      <c r="D608" t="s">
        <v>30</v>
      </c>
      <c r="E608">
        <v>47</v>
      </c>
      <c r="F608" t="s">
        <v>40</v>
      </c>
      <c r="G608" t="s">
        <v>55</v>
      </c>
      <c r="H608" t="s">
        <v>56</v>
      </c>
      <c r="I608" t="s">
        <v>49</v>
      </c>
      <c r="J608">
        <v>10</v>
      </c>
      <c r="K608" s="1">
        <v>45733</v>
      </c>
      <c r="L608" s="1">
        <v>45746</v>
      </c>
      <c r="M608" t="s">
        <v>50</v>
      </c>
      <c r="N608" t="s">
        <v>26</v>
      </c>
      <c r="O608">
        <v>167652.07999999999</v>
      </c>
      <c r="P608">
        <v>114003.41</v>
      </c>
      <c r="Q608">
        <v>53648.67</v>
      </c>
      <c r="R608" t="s">
        <v>32</v>
      </c>
      <c r="S608">
        <f t="shared" si="27"/>
        <v>13</v>
      </c>
      <c r="T608" s="2">
        <f t="shared" si="28"/>
        <v>0.67999997375517207</v>
      </c>
      <c r="U608" s="2">
        <f t="shared" si="29"/>
        <v>0.32000002624482798</v>
      </c>
    </row>
    <row r="609" spans="1:21" x14ac:dyDescent="0.3">
      <c r="A609">
        <v>10608</v>
      </c>
      <c r="B609" t="s">
        <v>150</v>
      </c>
      <c r="C609" t="s">
        <v>151</v>
      </c>
      <c r="D609" t="s">
        <v>30</v>
      </c>
      <c r="E609">
        <v>47</v>
      </c>
      <c r="F609" t="s">
        <v>54</v>
      </c>
      <c r="G609" t="s">
        <v>60</v>
      </c>
      <c r="H609" t="s">
        <v>61</v>
      </c>
      <c r="I609" t="s">
        <v>62</v>
      </c>
      <c r="J609">
        <v>18</v>
      </c>
      <c r="K609" s="1">
        <v>45795</v>
      </c>
      <c r="L609" s="1">
        <v>45798</v>
      </c>
      <c r="M609" t="s">
        <v>77</v>
      </c>
      <c r="N609" t="s">
        <v>51</v>
      </c>
      <c r="O609">
        <v>74070.02</v>
      </c>
      <c r="P609">
        <v>45923.41</v>
      </c>
      <c r="Q609">
        <v>28146.61</v>
      </c>
      <c r="R609" t="s">
        <v>32</v>
      </c>
      <c r="S609">
        <f t="shared" si="27"/>
        <v>3</v>
      </c>
      <c r="T609" s="2">
        <f t="shared" si="28"/>
        <v>0.61999996759822662</v>
      </c>
      <c r="U609" s="2">
        <f t="shared" si="29"/>
        <v>0.38000003240177332</v>
      </c>
    </row>
    <row r="610" spans="1:21" x14ac:dyDescent="0.3">
      <c r="A610">
        <v>10609</v>
      </c>
      <c r="B610" t="s">
        <v>90</v>
      </c>
      <c r="C610" t="s">
        <v>91</v>
      </c>
      <c r="D610" t="s">
        <v>20</v>
      </c>
      <c r="E610">
        <v>48</v>
      </c>
      <c r="F610" t="s">
        <v>84</v>
      </c>
      <c r="G610" t="s">
        <v>22</v>
      </c>
      <c r="H610" t="s">
        <v>23</v>
      </c>
      <c r="I610" t="s">
        <v>24</v>
      </c>
      <c r="J610">
        <v>15</v>
      </c>
      <c r="K610" s="1">
        <v>45812</v>
      </c>
      <c r="L610" s="1">
        <v>45818</v>
      </c>
      <c r="M610" t="s">
        <v>66</v>
      </c>
      <c r="N610" t="s">
        <v>26</v>
      </c>
      <c r="O610">
        <v>40078.11</v>
      </c>
      <c r="P610">
        <v>27253.11</v>
      </c>
      <c r="Q610">
        <v>12825</v>
      </c>
      <c r="R610" t="s">
        <v>32</v>
      </c>
      <c r="S610">
        <f t="shared" si="27"/>
        <v>6</v>
      </c>
      <c r="T610" s="2">
        <f t="shared" si="28"/>
        <v>0.67999988023387326</v>
      </c>
      <c r="U610" s="2">
        <f t="shared" si="29"/>
        <v>0.32000011976612669</v>
      </c>
    </row>
    <row r="611" spans="1:21" x14ac:dyDescent="0.3">
      <c r="A611">
        <v>10610</v>
      </c>
      <c r="B611" t="s">
        <v>45</v>
      </c>
      <c r="C611" t="s">
        <v>46</v>
      </c>
      <c r="D611" t="s">
        <v>30</v>
      </c>
      <c r="E611">
        <v>45</v>
      </c>
      <c r="F611" t="s">
        <v>40</v>
      </c>
      <c r="G611" t="s">
        <v>22</v>
      </c>
      <c r="H611" t="s">
        <v>23</v>
      </c>
      <c r="I611" t="s">
        <v>24</v>
      </c>
      <c r="J611">
        <v>15</v>
      </c>
      <c r="K611" s="1">
        <v>45782</v>
      </c>
      <c r="L611" s="1">
        <v>45789</v>
      </c>
      <c r="M611" t="s">
        <v>66</v>
      </c>
      <c r="N611" t="s">
        <v>26</v>
      </c>
      <c r="O611">
        <v>26142.880000000001</v>
      </c>
      <c r="P611">
        <v>19345.73</v>
      </c>
      <c r="Q611">
        <v>6797.15</v>
      </c>
      <c r="R611" t="s">
        <v>32</v>
      </c>
      <c r="S611">
        <f t="shared" si="27"/>
        <v>7</v>
      </c>
      <c r="T611" s="2">
        <f t="shared" si="28"/>
        <v>0.73999995409840069</v>
      </c>
      <c r="U611" s="2">
        <f t="shared" si="29"/>
        <v>0.2600000459015992</v>
      </c>
    </row>
    <row r="612" spans="1:21" x14ac:dyDescent="0.3">
      <c r="A612">
        <v>10611</v>
      </c>
      <c r="B612" t="s">
        <v>144</v>
      </c>
      <c r="C612" t="s">
        <v>145</v>
      </c>
      <c r="D612" t="s">
        <v>30</v>
      </c>
      <c r="E612">
        <v>37</v>
      </c>
      <c r="F612" t="s">
        <v>40</v>
      </c>
      <c r="G612" t="s">
        <v>55</v>
      </c>
      <c r="H612" t="s">
        <v>56</v>
      </c>
      <c r="I612" t="s">
        <v>49</v>
      </c>
      <c r="J612">
        <v>10</v>
      </c>
      <c r="K612" s="1">
        <v>45937</v>
      </c>
      <c r="L612" s="1">
        <v>45940</v>
      </c>
      <c r="M612" t="s">
        <v>101</v>
      </c>
      <c r="N612" t="s">
        <v>51</v>
      </c>
      <c r="O612">
        <v>47987.72</v>
      </c>
      <c r="P612">
        <v>37430.42</v>
      </c>
      <c r="Q612">
        <v>10557.3</v>
      </c>
      <c r="R612" t="s">
        <v>32</v>
      </c>
      <c r="S612">
        <f t="shared" si="27"/>
        <v>3</v>
      </c>
      <c r="T612" s="2">
        <f t="shared" si="28"/>
        <v>0.77999996665813665</v>
      </c>
      <c r="U612" s="2">
        <f t="shared" si="29"/>
        <v>0.22000003334186327</v>
      </c>
    </row>
    <row r="613" spans="1:21" x14ac:dyDescent="0.3">
      <c r="A613">
        <v>10612</v>
      </c>
      <c r="B613" t="s">
        <v>160</v>
      </c>
      <c r="C613" t="s">
        <v>161</v>
      </c>
      <c r="D613" t="s">
        <v>20</v>
      </c>
      <c r="E613">
        <v>18</v>
      </c>
      <c r="F613" t="s">
        <v>54</v>
      </c>
      <c r="G613" t="s">
        <v>88</v>
      </c>
      <c r="H613" t="s">
        <v>89</v>
      </c>
      <c r="I613" t="s">
        <v>62</v>
      </c>
      <c r="J613">
        <v>14</v>
      </c>
      <c r="K613" s="1">
        <v>45974</v>
      </c>
      <c r="L613" s="1">
        <v>45988</v>
      </c>
      <c r="M613" t="s">
        <v>77</v>
      </c>
      <c r="N613" t="s">
        <v>26</v>
      </c>
      <c r="O613">
        <v>73907.73</v>
      </c>
      <c r="P613">
        <v>57648.03</v>
      </c>
      <c r="Q613">
        <v>16259.7</v>
      </c>
      <c r="R613" t="s">
        <v>27</v>
      </c>
      <c r="S613">
        <f t="shared" si="27"/>
        <v>14</v>
      </c>
      <c r="T613" s="2">
        <f t="shared" si="28"/>
        <v>0.78000000811823067</v>
      </c>
      <c r="U613" s="2">
        <f t="shared" si="29"/>
        <v>0.21999999188176936</v>
      </c>
    </row>
    <row r="614" spans="1:21" x14ac:dyDescent="0.3">
      <c r="A614">
        <v>10613</v>
      </c>
      <c r="B614" t="s">
        <v>110</v>
      </c>
      <c r="C614" t="s">
        <v>111</v>
      </c>
      <c r="D614" t="s">
        <v>20</v>
      </c>
      <c r="E614">
        <v>44</v>
      </c>
      <c r="F614" t="s">
        <v>35</v>
      </c>
      <c r="G614" t="s">
        <v>36</v>
      </c>
      <c r="H614" t="s">
        <v>37</v>
      </c>
      <c r="I614" t="s">
        <v>24</v>
      </c>
      <c r="J614">
        <v>12</v>
      </c>
      <c r="K614" s="1">
        <v>45994</v>
      </c>
      <c r="L614" s="1">
        <v>46007</v>
      </c>
      <c r="M614" t="s">
        <v>76</v>
      </c>
      <c r="N614" t="s">
        <v>26</v>
      </c>
      <c r="O614">
        <v>280195.11</v>
      </c>
      <c r="P614">
        <v>190532.67</v>
      </c>
      <c r="Q614">
        <v>89662.44</v>
      </c>
      <c r="R614" t="s">
        <v>32</v>
      </c>
      <c r="S614">
        <f t="shared" si="27"/>
        <v>13</v>
      </c>
      <c r="T614" s="2">
        <f t="shared" si="28"/>
        <v>0.67999998286908014</v>
      </c>
      <c r="U614" s="2">
        <f t="shared" si="29"/>
        <v>0.32000001713091997</v>
      </c>
    </row>
    <row r="615" spans="1:21" x14ac:dyDescent="0.3">
      <c r="A615">
        <v>10614</v>
      </c>
      <c r="B615" t="s">
        <v>143</v>
      </c>
      <c r="C615" t="s">
        <v>74</v>
      </c>
      <c r="D615" t="s">
        <v>20</v>
      </c>
      <c r="E615">
        <v>35</v>
      </c>
      <c r="F615" t="s">
        <v>119</v>
      </c>
      <c r="G615" t="s">
        <v>55</v>
      </c>
      <c r="H615" t="s">
        <v>56</v>
      </c>
      <c r="I615" t="s">
        <v>49</v>
      </c>
      <c r="J615">
        <v>10</v>
      </c>
      <c r="K615" s="1">
        <v>45756</v>
      </c>
      <c r="L615" s="1">
        <v>45770</v>
      </c>
      <c r="M615" t="s">
        <v>50</v>
      </c>
      <c r="N615" t="s">
        <v>51</v>
      </c>
      <c r="O615">
        <v>167573.69</v>
      </c>
      <c r="P615">
        <v>100544.21</v>
      </c>
      <c r="Q615">
        <v>67029.48</v>
      </c>
      <c r="R615" t="s">
        <v>27</v>
      </c>
      <c r="S615">
        <f t="shared" si="27"/>
        <v>14</v>
      </c>
      <c r="T615" s="2">
        <f t="shared" si="28"/>
        <v>0.59999997612990441</v>
      </c>
      <c r="U615" s="2">
        <f t="shared" si="29"/>
        <v>0.40000002387009559</v>
      </c>
    </row>
    <row r="616" spans="1:21" x14ac:dyDescent="0.3">
      <c r="A616">
        <v>10615</v>
      </c>
      <c r="B616" t="s">
        <v>127</v>
      </c>
      <c r="C616" t="s">
        <v>128</v>
      </c>
      <c r="D616" t="s">
        <v>20</v>
      </c>
      <c r="E616">
        <v>41</v>
      </c>
      <c r="F616" t="s">
        <v>54</v>
      </c>
      <c r="G616" t="s">
        <v>55</v>
      </c>
      <c r="H616" t="s">
        <v>56</v>
      </c>
      <c r="I616" t="s">
        <v>49</v>
      </c>
      <c r="J616">
        <v>10</v>
      </c>
      <c r="K616" s="1">
        <v>45789</v>
      </c>
      <c r="L616" s="1">
        <v>45793</v>
      </c>
      <c r="M616" t="s">
        <v>85</v>
      </c>
      <c r="N616" t="s">
        <v>51</v>
      </c>
      <c r="O616">
        <v>80926.600000000006</v>
      </c>
      <c r="P616">
        <v>50983.76</v>
      </c>
      <c r="Q616">
        <v>29942.84</v>
      </c>
      <c r="R616" t="s">
        <v>32</v>
      </c>
      <c r="S616">
        <f t="shared" si="27"/>
        <v>4</v>
      </c>
      <c r="T616" s="2">
        <f t="shared" si="28"/>
        <v>0.63000002471375294</v>
      </c>
      <c r="U616" s="2">
        <f t="shared" si="29"/>
        <v>0.36999997528624701</v>
      </c>
    </row>
    <row r="617" spans="1:21" x14ac:dyDescent="0.3">
      <c r="A617">
        <v>10616</v>
      </c>
      <c r="B617" t="s">
        <v>133</v>
      </c>
      <c r="C617" t="s">
        <v>134</v>
      </c>
      <c r="D617" t="s">
        <v>20</v>
      </c>
      <c r="E617">
        <v>56</v>
      </c>
      <c r="F617" t="s">
        <v>40</v>
      </c>
      <c r="G617" t="s">
        <v>60</v>
      </c>
      <c r="H617" t="s">
        <v>61</v>
      </c>
      <c r="I617" t="s">
        <v>62</v>
      </c>
      <c r="J617">
        <v>18</v>
      </c>
      <c r="K617" s="1">
        <v>45870</v>
      </c>
      <c r="L617" s="1">
        <v>45883</v>
      </c>
      <c r="M617" t="s">
        <v>63</v>
      </c>
      <c r="N617" t="s">
        <v>26</v>
      </c>
      <c r="O617">
        <v>26768.87</v>
      </c>
      <c r="P617">
        <v>16864.39</v>
      </c>
      <c r="Q617">
        <v>9904.48</v>
      </c>
      <c r="R617" t="s">
        <v>27</v>
      </c>
      <c r="S617">
        <f t="shared" si="27"/>
        <v>13</v>
      </c>
      <c r="T617" s="2">
        <f t="shared" si="28"/>
        <v>0.63000007097796806</v>
      </c>
      <c r="U617" s="2">
        <f t="shared" si="29"/>
        <v>0.36999992902203194</v>
      </c>
    </row>
    <row r="618" spans="1:21" x14ac:dyDescent="0.3">
      <c r="A618">
        <v>10617</v>
      </c>
      <c r="B618" t="s">
        <v>104</v>
      </c>
      <c r="C618" t="s">
        <v>105</v>
      </c>
      <c r="D618" t="s">
        <v>30</v>
      </c>
      <c r="E618">
        <v>68</v>
      </c>
      <c r="F618" t="s">
        <v>21</v>
      </c>
      <c r="G618" t="s">
        <v>88</v>
      </c>
      <c r="H618" t="s">
        <v>89</v>
      </c>
      <c r="I618" t="s">
        <v>62</v>
      </c>
      <c r="J618">
        <v>14</v>
      </c>
      <c r="K618" s="1">
        <v>45668</v>
      </c>
      <c r="L618" s="1">
        <v>45671</v>
      </c>
      <c r="M618" t="s">
        <v>96</v>
      </c>
      <c r="N618" t="s">
        <v>51</v>
      </c>
      <c r="O618">
        <v>305636.78999999998</v>
      </c>
      <c r="P618">
        <v>220058.49</v>
      </c>
      <c r="Q618">
        <v>85578.3</v>
      </c>
      <c r="R618" t="s">
        <v>27</v>
      </c>
      <c r="S618">
        <f t="shared" si="27"/>
        <v>3</v>
      </c>
      <c r="T618" s="2">
        <f t="shared" si="28"/>
        <v>0.72000000392622887</v>
      </c>
      <c r="U618" s="2">
        <f t="shared" si="29"/>
        <v>0.27999999607377113</v>
      </c>
    </row>
    <row r="619" spans="1:21" x14ac:dyDescent="0.3">
      <c r="A619">
        <v>10618</v>
      </c>
      <c r="B619" t="s">
        <v>113</v>
      </c>
      <c r="C619" t="s">
        <v>114</v>
      </c>
      <c r="D619" t="s">
        <v>30</v>
      </c>
      <c r="E619">
        <v>33</v>
      </c>
      <c r="F619" t="s">
        <v>59</v>
      </c>
      <c r="G619" t="s">
        <v>47</v>
      </c>
      <c r="H619" t="s">
        <v>48</v>
      </c>
      <c r="I619" t="s">
        <v>49</v>
      </c>
      <c r="J619">
        <v>8</v>
      </c>
      <c r="K619" s="1">
        <v>45838</v>
      </c>
      <c r="L619" s="1">
        <v>45844</v>
      </c>
      <c r="M619" t="s">
        <v>50</v>
      </c>
      <c r="N619" t="s">
        <v>26</v>
      </c>
      <c r="O619">
        <v>319836.28999999998</v>
      </c>
      <c r="P619">
        <v>204695.23</v>
      </c>
      <c r="Q619">
        <v>115141.06</v>
      </c>
      <c r="R619" t="s">
        <v>32</v>
      </c>
      <c r="S619">
        <f t="shared" si="27"/>
        <v>6</v>
      </c>
      <c r="T619" s="2">
        <f t="shared" si="28"/>
        <v>0.64000001375703808</v>
      </c>
      <c r="U619" s="2">
        <f t="shared" si="29"/>
        <v>0.35999998624296198</v>
      </c>
    </row>
    <row r="620" spans="1:21" x14ac:dyDescent="0.3">
      <c r="A620">
        <v>10619</v>
      </c>
      <c r="B620" t="s">
        <v>73</v>
      </c>
      <c r="C620" t="s">
        <v>74</v>
      </c>
      <c r="D620" t="s">
        <v>20</v>
      </c>
      <c r="E620">
        <v>53</v>
      </c>
      <c r="F620" t="s">
        <v>75</v>
      </c>
      <c r="G620" t="s">
        <v>47</v>
      </c>
      <c r="H620" t="s">
        <v>48</v>
      </c>
      <c r="I620" t="s">
        <v>49</v>
      </c>
      <c r="J620">
        <v>8</v>
      </c>
      <c r="K620" s="1">
        <v>45798</v>
      </c>
      <c r="L620" s="1">
        <v>45805</v>
      </c>
      <c r="M620" t="s">
        <v>50</v>
      </c>
      <c r="N620" t="s">
        <v>26</v>
      </c>
      <c r="O620">
        <v>286080.65000000002</v>
      </c>
      <c r="P620">
        <v>174509.2</v>
      </c>
      <c r="Q620">
        <v>111571.45</v>
      </c>
      <c r="R620" t="s">
        <v>32</v>
      </c>
      <c r="S620">
        <f t="shared" si="27"/>
        <v>7</v>
      </c>
      <c r="T620" s="2">
        <f t="shared" si="28"/>
        <v>0.61000001223431222</v>
      </c>
      <c r="U620" s="2">
        <f t="shared" si="29"/>
        <v>0.38999998776568773</v>
      </c>
    </row>
    <row r="621" spans="1:21" x14ac:dyDescent="0.3">
      <c r="A621">
        <v>10620</v>
      </c>
      <c r="B621" t="s">
        <v>127</v>
      </c>
      <c r="C621" t="s">
        <v>128</v>
      </c>
      <c r="D621" t="s">
        <v>20</v>
      </c>
      <c r="E621">
        <v>41</v>
      </c>
      <c r="F621" t="s">
        <v>54</v>
      </c>
      <c r="G621" t="s">
        <v>55</v>
      </c>
      <c r="H621" t="s">
        <v>56</v>
      </c>
      <c r="I621" t="s">
        <v>49</v>
      </c>
      <c r="J621">
        <v>10</v>
      </c>
      <c r="K621" s="1">
        <v>45751</v>
      </c>
      <c r="L621" s="1">
        <v>45754</v>
      </c>
      <c r="M621" t="s">
        <v>50</v>
      </c>
      <c r="N621" t="s">
        <v>26</v>
      </c>
      <c r="O621">
        <v>247989.66</v>
      </c>
      <c r="P621">
        <v>188472.14</v>
      </c>
      <c r="Q621">
        <v>59517.52</v>
      </c>
      <c r="R621" t="s">
        <v>32</v>
      </c>
      <c r="S621">
        <f t="shared" si="27"/>
        <v>3</v>
      </c>
      <c r="T621" s="2">
        <f t="shared" si="28"/>
        <v>0.75999999354811809</v>
      </c>
      <c r="U621" s="2">
        <f t="shared" si="29"/>
        <v>0.24000000645188188</v>
      </c>
    </row>
    <row r="622" spans="1:21" x14ac:dyDescent="0.3">
      <c r="A622">
        <v>10621</v>
      </c>
      <c r="B622" t="s">
        <v>131</v>
      </c>
      <c r="C622" t="s">
        <v>132</v>
      </c>
      <c r="D622" t="s">
        <v>20</v>
      </c>
      <c r="E622">
        <v>68</v>
      </c>
      <c r="F622" t="s">
        <v>31</v>
      </c>
      <c r="G622" t="s">
        <v>55</v>
      </c>
      <c r="H622" t="s">
        <v>56</v>
      </c>
      <c r="I622" t="s">
        <v>49</v>
      </c>
      <c r="J622">
        <v>10</v>
      </c>
      <c r="K622" s="1">
        <v>45777</v>
      </c>
      <c r="L622" s="1">
        <v>45789</v>
      </c>
      <c r="M622" t="s">
        <v>85</v>
      </c>
      <c r="N622" t="s">
        <v>26</v>
      </c>
      <c r="O622">
        <v>118871.69</v>
      </c>
      <c r="P622">
        <v>74889.16</v>
      </c>
      <c r="Q622">
        <v>43982.53</v>
      </c>
      <c r="R622" t="s">
        <v>32</v>
      </c>
      <c r="S622">
        <f t="shared" si="27"/>
        <v>12</v>
      </c>
      <c r="T622" s="2">
        <f t="shared" si="28"/>
        <v>0.62999996046156992</v>
      </c>
      <c r="U622" s="2">
        <f t="shared" si="29"/>
        <v>0.37000003953843003</v>
      </c>
    </row>
    <row r="623" spans="1:21" x14ac:dyDescent="0.3">
      <c r="A623">
        <v>10622</v>
      </c>
      <c r="B623" t="s">
        <v>99</v>
      </c>
      <c r="C623" t="s">
        <v>100</v>
      </c>
      <c r="D623" t="s">
        <v>30</v>
      </c>
      <c r="E623">
        <v>68</v>
      </c>
      <c r="F623" t="s">
        <v>69</v>
      </c>
      <c r="G623" t="s">
        <v>47</v>
      </c>
      <c r="H623" t="s">
        <v>48</v>
      </c>
      <c r="I623" t="s">
        <v>49</v>
      </c>
      <c r="J623">
        <v>8</v>
      </c>
      <c r="K623" s="1">
        <v>45695</v>
      </c>
      <c r="L623" s="1">
        <v>45705</v>
      </c>
      <c r="M623" t="s">
        <v>85</v>
      </c>
      <c r="N623" t="s">
        <v>26</v>
      </c>
      <c r="O623">
        <v>99536.97</v>
      </c>
      <c r="P623">
        <v>78634.210000000006</v>
      </c>
      <c r="Q623">
        <v>20902.759999999998</v>
      </c>
      <c r="R623" t="s">
        <v>32</v>
      </c>
      <c r="S623">
        <f t="shared" si="27"/>
        <v>10</v>
      </c>
      <c r="T623" s="2">
        <f t="shared" si="28"/>
        <v>0.79000003717211809</v>
      </c>
      <c r="U623" s="2">
        <f t="shared" si="29"/>
        <v>0.20999996282788191</v>
      </c>
    </row>
    <row r="624" spans="1:21" x14ac:dyDescent="0.3">
      <c r="A624">
        <v>10623</v>
      </c>
      <c r="B624" t="s">
        <v>78</v>
      </c>
      <c r="C624" t="s">
        <v>79</v>
      </c>
      <c r="D624" t="s">
        <v>20</v>
      </c>
      <c r="E624">
        <v>67</v>
      </c>
      <c r="F624" t="s">
        <v>35</v>
      </c>
      <c r="G624" t="s">
        <v>70</v>
      </c>
      <c r="H624" t="s">
        <v>71</v>
      </c>
      <c r="I624" t="s">
        <v>43</v>
      </c>
      <c r="J624">
        <v>11</v>
      </c>
      <c r="K624" s="1">
        <v>45922</v>
      </c>
      <c r="L624" s="1">
        <v>45926</v>
      </c>
      <c r="M624" t="s">
        <v>72</v>
      </c>
      <c r="N624" t="s">
        <v>26</v>
      </c>
      <c r="O624">
        <v>13642.77</v>
      </c>
      <c r="P624">
        <v>9959.2199999999993</v>
      </c>
      <c r="Q624">
        <v>3683.55</v>
      </c>
      <c r="R624" t="s">
        <v>32</v>
      </c>
      <c r="S624">
        <f t="shared" si="27"/>
        <v>4</v>
      </c>
      <c r="T624" s="2">
        <f t="shared" si="28"/>
        <v>0.72999984607231516</v>
      </c>
      <c r="U624" s="2">
        <f t="shared" si="29"/>
        <v>0.27000015392768478</v>
      </c>
    </row>
    <row r="625" spans="1:21" x14ac:dyDescent="0.3">
      <c r="A625">
        <v>10624</v>
      </c>
      <c r="B625" t="s">
        <v>150</v>
      </c>
      <c r="C625" t="s">
        <v>151</v>
      </c>
      <c r="D625" t="s">
        <v>30</v>
      </c>
      <c r="E625">
        <v>47</v>
      </c>
      <c r="F625" t="s">
        <v>54</v>
      </c>
      <c r="G625" t="s">
        <v>22</v>
      </c>
      <c r="H625" t="s">
        <v>23</v>
      </c>
      <c r="I625" t="s">
        <v>24</v>
      </c>
      <c r="J625">
        <v>15</v>
      </c>
      <c r="K625" s="1">
        <v>45703</v>
      </c>
      <c r="L625" s="1">
        <v>45708</v>
      </c>
      <c r="M625" t="s">
        <v>66</v>
      </c>
      <c r="N625" t="s">
        <v>51</v>
      </c>
      <c r="O625">
        <v>82177.02</v>
      </c>
      <c r="P625">
        <v>61632.76</v>
      </c>
      <c r="Q625">
        <v>20544.259999999998</v>
      </c>
      <c r="R625" t="s">
        <v>32</v>
      </c>
      <c r="S625">
        <f t="shared" si="27"/>
        <v>5</v>
      </c>
      <c r="T625" s="2">
        <f t="shared" si="28"/>
        <v>0.74999993915573959</v>
      </c>
      <c r="U625" s="2">
        <f t="shared" si="29"/>
        <v>0.2500000608442603</v>
      </c>
    </row>
    <row r="626" spans="1:21" x14ac:dyDescent="0.3">
      <c r="A626">
        <v>10625</v>
      </c>
      <c r="B626" t="s">
        <v>162</v>
      </c>
      <c r="C626" t="s">
        <v>91</v>
      </c>
      <c r="D626" t="s">
        <v>30</v>
      </c>
      <c r="E626">
        <v>39</v>
      </c>
      <c r="F626" t="s">
        <v>119</v>
      </c>
      <c r="G626" t="s">
        <v>41</v>
      </c>
      <c r="H626" t="s">
        <v>42</v>
      </c>
      <c r="I626" t="s">
        <v>43</v>
      </c>
      <c r="J626">
        <v>9</v>
      </c>
      <c r="K626" s="1">
        <v>45925</v>
      </c>
      <c r="L626" s="1">
        <v>45928</v>
      </c>
      <c r="M626" t="s">
        <v>112</v>
      </c>
      <c r="N626" t="s">
        <v>26</v>
      </c>
      <c r="O626">
        <v>33722.61</v>
      </c>
      <c r="P626">
        <v>27315.31</v>
      </c>
      <c r="Q626">
        <v>6407.3</v>
      </c>
      <c r="R626" t="s">
        <v>27</v>
      </c>
      <c r="S626">
        <f t="shared" si="27"/>
        <v>3</v>
      </c>
      <c r="T626" s="2">
        <f t="shared" si="28"/>
        <v>0.80999987841984955</v>
      </c>
      <c r="U626" s="2">
        <f t="shared" si="29"/>
        <v>0.19000012158015053</v>
      </c>
    </row>
    <row r="627" spans="1:21" x14ac:dyDescent="0.3">
      <c r="A627">
        <v>10626</v>
      </c>
      <c r="B627" t="s">
        <v>97</v>
      </c>
      <c r="C627" t="s">
        <v>98</v>
      </c>
      <c r="D627" t="s">
        <v>20</v>
      </c>
      <c r="E627">
        <v>43</v>
      </c>
      <c r="F627" t="s">
        <v>69</v>
      </c>
      <c r="G627" t="s">
        <v>22</v>
      </c>
      <c r="H627" t="s">
        <v>23</v>
      </c>
      <c r="I627" t="s">
        <v>24</v>
      </c>
      <c r="J627">
        <v>15</v>
      </c>
      <c r="K627" s="1">
        <v>45771</v>
      </c>
      <c r="L627" s="1">
        <v>45782</v>
      </c>
      <c r="M627" t="s">
        <v>66</v>
      </c>
      <c r="N627" t="s">
        <v>26</v>
      </c>
      <c r="O627">
        <v>31743.89</v>
      </c>
      <c r="P627">
        <v>25077.67</v>
      </c>
      <c r="Q627">
        <v>6666.22</v>
      </c>
      <c r="R627" t="s">
        <v>32</v>
      </c>
      <c r="S627">
        <f t="shared" si="27"/>
        <v>11</v>
      </c>
      <c r="T627" s="2">
        <f t="shared" si="28"/>
        <v>0.78999990234341155</v>
      </c>
      <c r="U627" s="2">
        <f t="shared" si="29"/>
        <v>0.21000009765658842</v>
      </c>
    </row>
    <row r="628" spans="1:21" x14ac:dyDescent="0.3">
      <c r="A628">
        <v>10627</v>
      </c>
      <c r="B628" t="s">
        <v>135</v>
      </c>
      <c r="C628" t="s">
        <v>136</v>
      </c>
      <c r="D628" t="s">
        <v>30</v>
      </c>
      <c r="E628">
        <v>52</v>
      </c>
      <c r="F628" t="s">
        <v>35</v>
      </c>
      <c r="G628" t="s">
        <v>36</v>
      </c>
      <c r="H628" t="s">
        <v>37</v>
      </c>
      <c r="I628" t="s">
        <v>24</v>
      </c>
      <c r="J628">
        <v>12</v>
      </c>
      <c r="K628" s="1">
        <v>45701</v>
      </c>
      <c r="L628" s="1">
        <v>45711</v>
      </c>
      <c r="M628" t="s">
        <v>66</v>
      </c>
      <c r="N628" t="s">
        <v>51</v>
      </c>
      <c r="O628">
        <v>53504.06</v>
      </c>
      <c r="P628">
        <v>44943.41</v>
      </c>
      <c r="Q628">
        <v>8560.65</v>
      </c>
      <c r="R628" t="s">
        <v>32</v>
      </c>
      <c r="S628">
        <f t="shared" si="27"/>
        <v>10</v>
      </c>
      <c r="T628" s="2">
        <f t="shared" si="28"/>
        <v>0.83999999252393198</v>
      </c>
      <c r="U628" s="2">
        <f t="shared" si="29"/>
        <v>0.16000000747606818</v>
      </c>
    </row>
    <row r="629" spans="1:21" x14ac:dyDescent="0.3">
      <c r="A629">
        <v>10628</v>
      </c>
      <c r="B629" t="s">
        <v>121</v>
      </c>
      <c r="C629" t="s">
        <v>122</v>
      </c>
      <c r="D629" t="s">
        <v>20</v>
      </c>
      <c r="E629">
        <v>23</v>
      </c>
      <c r="F629" t="s">
        <v>59</v>
      </c>
      <c r="G629" t="s">
        <v>41</v>
      </c>
      <c r="H629" t="s">
        <v>42</v>
      </c>
      <c r="I629" t="s">
        <v>43</v>
      </c>
      <c r="J629">
        <v>9</v>
      </c>
      <c r="K629" s="1">
        <v>45873</v>
      </c>
      <c r="L629" s="1">
        <v>45875</v>
      </c>
      <c r="M629" t="s">
        <v>44</v>
      </c>
      <c r="N629" t="s">
        <v>51</v>
      </c>
      <c r="O629">
        <v>26922.43</v>
      </c>
      <c r="P629">
        <v>21807.17</v>
      </c>
      <c r="Q629">
        <v>5115.26</v>
      </c>
      <c r="R629" t="s">
        <v>32</v>
      </c>
      <c r="S629">
        <f t="shared" si="27"/>
        <v>2</v>
      </c>
      <c r="T629" s="2">
        <f t="shared" si="28"/>
        <v>0.81000006314437434</v>
      </c>
      <c r="U629" s="2">
        <f t="shared" si="29"/>
        <v>0.18999993685562561</v>
      </c>
    </row>
    <row r="630" spans="1:21" x14ac:dyDescent="0.3">
      <c r="A630">
        <v>10629</v>
      </c>
      <c r="B630" t="s">
        <v>18</v>
      </c>
      <c r="C630" t="s">
        <v>19</v>
      </c>
      <c r="D630" t="s">
        <v>20</v>
      </c>
      <c r="E630">
        <v>45</v>
      </c>
      <c r="F630" t="s">
        <v>21</v>
      </c>
      <c r="G630" t="s">
        <v>36</v>
      </c>
      <c r="H630" t="s">
        <v>37</v>
      </c>
      <c r="I630" t="s">
        <v>24</v>
      </c>
      <c r="J630">
        <v>12</v>
      </c>
      <c r="K630" s="1">
        <v>45881</v>
      </c>
      <c r="L630" s="1">
        <v>45894</v>
      </c>
      <c r="M630" t="s">
        <v>76</v>
      </c>
      <c r="N630" t="s">
        <v>26</v>
      </c>
      <c r="O630">
        <v>216499.5</v>
      </c>
      <c r="P630">
        <v>162374.62</v>
      </c>
      <c r="Q630">
        <v>54124.88</v>
      </c>
      <c r="R630" t="s">
        <v>32</v>
      </c>
      <c r="S630">
        <f t="shared" si="27"/>
        <v>13</v>
      </c>
      <c r="T630" s="2">
        <f t="shared" si="28"/>
        <v>0.74999997690525844</v>
      </c>
      <c r="U630" s="2">
        <f t="shared" si="29"/>
        <v>0.25000002309474156</v>
      </c>
    </row>
    <row r="631" spans="1:21" x14ac:dyDescent="0.3">
      <c r="A631">
        <v>10630</v>
      </c>
      <c r="B631" t="s">
        <v>110</v>
      </c>
      <c r="C631" t="s">
        <v>111</v>
      </c>
      <c r="D631" t="s">
        <v>20</v>
      </c>
      <c r="E631">
        <v>44</v>
      </c>
      <c r="F631" t="s">
        <v>35</v>
      </c>
      <c r="G631" t="s">
        <v>60</v>
      </c>
      <c r="H631" t="s">
        <v>61</v>
      </c>
      <c r="I631" t="s">
        <v>62</v>
      </c>
      <c r="J631">
        <v>18</v>
      </c>
      <c r="K631" s="1">
        <v>45847</v>
      </c>
      <c r="L631" s="1">
        <v>45850</v>
      </c>
      <c r="M631" t="s">
        <v>96</v>
      </c>
      <c r="N631" t="s">
        <v>26</v>
      </c>
      <c r="O631">
        <v>134589.96</v>
      </c>
      <c r="P631">
        <v>96904.77</v>
      </c>
      <c r="Q631">
        <v>37685.19</v>
      </c>
      <c r="R631" t="s">
        <v>27</v>
      </c>
      <c r="S631">
        <f t="shared" si="27"/>
        <v>3</v>
      </c>
      <c r="T631" s="2">
        <f t="shared" si="28"/>
        <v>0.71999999108403046</v>
      </c>
      <c r="U631" s="2">
        <f t="shared" si="29"/>
        <v>0.28000000891596971</v>
      </c>
    </row>
    <row r="632" spans="1:21" x14ac:dyDescent="0.3">
      <c r="A632">
        <v>10631</v>
      </c>
      <c r="B632" t="s">
        <v>102</v>
      </c>
      <c r="C632" t="s">
        <v>103</v>
      </c>
      <c r="D632" t="s">
        <v>30</v>
      </c>
      <c r="E632">
        <v>59</v>
      </c>
      <c r="F632" t="s">
        <v>75</v>
      </c>
      <c r="G632" t="s">
        <v>41</v>
      </c>
      <c r="H632" t="s">
        <v>42</v>
      </c>
      <c r="I632" t="s">
        <v>43</v>
      </c>
      <c r="J632">
        <v>9</v>
      </c>
      <c r="K632" s="1">
        <v>45808</v>
      </c>
      <c r="L632" s="1">
        <v>45822</v>
      </c>
      <c r="M632" t="s">
        <v>44</v>
      </c>
      <c r="N632" t="s">
        <v>51</v>
      </c>
      <c r="O632">
        <v>29964.93</v>
      </c>
      <c r="P632">
        <v>18278.61</v>
      </c>
      <c r="Q632">
        <v>11686.32</v>
      </c>
      <c r="R632" t="s">
        <v>32</v>
      </c>
      <c r="S632">
        <f t="shared" si="27"/>
        <v>14</v>
      </c>
      <c r="T632" s="2">
        <f t="shared" si="28"/>
        <v>0.61000009010533318</v>
      </c>
      <c r="U632" s="2">
        <f t="shared" si="29"/>
        <v>0.38999990989466687</v>
      </c>
    </row>
    <row r="633" spans="1:21" x14ac:dyDescent="0.3">
      <c r="A633">
        <v>10632</v>
      </c>
      <c r="B633" t="s">
        <v>52</v>
      </c>
      <c r="C633" t="s">
        <v>53</v>
      </c>
      <c r="D633" t="s">
        <v>20</v>
      </c>
      <c r="E633">
        <v>49</v>
      </c>
      <c r="F633" t="s">
        <v>54</v>
      </c>
      <c r="G633" t="s">
        <v>88</v>
      </c>
      <c r="H633" t="s">
        <v>89</v>
      </c>
      <c r="I633" t="s">
        <v>62</v>
      </c>
      <c r="J633">
        <v>14</v>
      </c>
      <c r="K633" s="1">
        <v>46003</v>
      </c>
      <c r="L633" s="1">
        <v>46015</v>
      </c>
      <c r="M633" t="s">
        <v>96</v>
      </c>
      <c r="N633" t="s">
        <v>51</v>
      </c>
      <c r="O633">
        <v>305477.15999999997</v>
      </c>
      <c r="P633">
        <v>229107.87</v>
      </c>
      <c r="Q633">
        <v>76369.289999999994</v>
      </c>
      <c r="R633" t="s">
        <v>32</v>
      </c>
      <c r="S633">
        <f t="shared" si="27"/>
        <v>12</v>
      </c>
      <c r="T633" s="2">
        <f t="shared" si="28"/>
        <v>0.75</v>
      </c>
      <c r="U633" s="2">
        <f t="shared" si="29"/>
        <v>0.25</v>
      </c>
    </row>
    <row r="634" spans="1:21" x14ac:dyDescent="0.3">
      <c r="A634">
        <v>10633</v>
      </c>
      <c r="B634" t="s">
        <v>160</v>
      </c>
      <c r="C634" t="s">
        <v>161</v>
      </c>
      <c r="D634" t="s">
        <v>20</v>
      </c>
      <c r="E634">
        <v>18</v>
      </c>
      <c r="F634" t="s">
        <v>54</v>
      </c>
      <c r="G634" t="s">
        <v>60</v>
      </c>
      <c r="H634" t="s">
        <v>61</v>
      </c>
      <c r="I634" t="s">
        <v>62</v>
      </c>
      <c r="J634">
        <v>18</v>
      </c>
      <c r="K634" s="1">
        <v>45732</v>
      </c>
      <c r="L634" s="1">
        <v>45738</v>
      </c>
      <c r="M634" t="s">
        <v>96</v>
      </c>
      <c r="N634" t="s">
        <v>26</v>
      </c>
      <c r="O634">
        <v>151116.21</v>
      </c>
      <c r="P634">
        <v>113337.16</v>
      </c>
      <c r="Q634">
        <v>37779.050000000003</v>
      </c>
      <c r="R634" t="s">
        <v>32</v>
      </c>
      <c r="S634">
        <f t="shared" si="27"/>
        <v>6</v>
      </c>
      <c r="T634" s="2">
        <f t="shared" si="28"/>
        <v>0.75000001654355952</v>
      </c>
      <c r="U634" s="2">
        <f t="shared" si="29"/>
        <v>0.24999998345644062</v>
      </c>
    </row>
    <row r="635" spans="1:21" x14ac:dyDescent="0.3">
      <c r="A635">
        <v>10634</v>
      </c>
      <c r="B635" t="s">
        <v>135</v>
      </c>
      <c r="C635" t="s">
        <v>136</v>
      </c>
      <c r="D635" t="s">
        <v>30</v>
      </c>
      <c r="E635">
        <v>52</v>
      </c>
      <c r="F635" t="s">
        <v>35</v>
      </c>
      <c r="G635" t="s">
        <v>41</v>
      </c>
      <c r="H635" t="s">
        <v>42</v>
      </c>
      <c r="I635" t="s">
        <v>43</v>
      </c>
      <c r="J635">
        <v>9</v>
      </c>
      <c r="K635" s="1">
        <v>45920</v>
      </c>
      <c r="L635" s="1">
        <v>45932</v>
      </c>
      <c r="M635" t="s">
        <v>72</v>
      </c>
      <c r="N635" t="s">
        <v>26</v>
      </c>
      <c r="O635">
        <v>22212.11</v>
      </c>
      <c r="P635">
        <v>17325.45</v>
      </c>
      <c r="Q635">
        <v>4886.66</v>
      </c>
      <c r="R635" t="s">
        <v>32</v>
      </c>
      <c r="S635">
        <f t="shared" si="27"/>
        <v>12</v>
      </c>
      <c r="T635" s="2">
        <f t="shared" si="28"/>
        <v>0.78000018908604363</v>
      </c>
      <c r="U635" s="2">
        <f t="shared" si="29"/>
        <v>0.21999981091395637</v>
      </c>
    </row>
    <row r="636" spans="1:21" x14ac:dyDescent="0.3">
      <c r="A636">
        <v>10635</v>
      </c>
      <c r="B636" t="s">
        <v>120</v>
      </c>
      <c r="C636" t="s">
        <v>74</v>
      </c>
      <c r="D636" t="s">
        <v>20</v>
      </c>
      <c r="E636">
        <v>61</v>
      </c>
      <c r="F636" t="s">
        <v>69</v>
      </c>
      <c r="G636" t="s">
        <v>22</v>
      </c>
      <c r="H636" t="s">
        <v>23</v>
      </c>
      <c r="I636" t="s">
        <v>24</v>
      </c>
      <c r="J636">
        <v>15</v>
      </c>
      <c r="K636" s="1">
        <v>45995</v>
      </c>
      <c r="L636" s="1">
        <v>46009</v>
      </c>
      <c r="M636" t="s">
        <v>76</v>
      </c>
      <c r="N636" t="s">
        <v>51</v>
      </c>
      <c r="O636">
        <v>234714.55</v>
      </c>
      <c r="P636">
        <v>159605.89000000001</v>
      </c>
      <c r="Q636">
        <v>75108.66</v>
      </c>
      <c r="R636" t="s">
        <v>32</v>
      </c>
      <c r="S636">
        <f t="shared" si="27"/>
        <v>14</v>
      </c>
      <c r="T636" s="2">
        <f t="shared" si="28"/>
        <v>0.67999998295802289</v>
      </c>
      <c r="U636" s="2">
        <f t="shared" si="29"/>
        <v>0.32000001704197717</v>
      </c>
    </row>
    <row r="637" spans="1:21" x14ac:dyDescent="0.3">
      <c r="A637">
        <v>10636</v>
      </c>
      <c r="B637" t="s">
        <v>117</v>
      </c>
      <c r="C637" t="s">
        <v>118</v>
      </c>
      <c r="D637" t="s">
        <v>20</v>
      </c>
      <c r="E637">
        <v>65</v>
      </c>
      <c r="F637" t="s">
        <v>119</v>
      </c>
      <c r="G637" t="s">
        <v>70</v>
      </c>
      <c r="H637" t="s">
        <v>71</v>
      </c>
      <c r="I637" t="s">
        <v>43</v>
      </c>
      <c r="J637">
        <v>11</v>
      </c>
      <c r="K637" s="1">
        <v>45954</v>
      </c>
      <c r="L637" s="1">
        <v>45956</v>
      </c>
      <c r="M637" t="s">
        <v>112</v>
      </c>
      <c r="N637" t="s">
        <v>51</v>
      </c>
      <c r="O637">
        <v>70381.88</v>
      </c>
      <c r="P637">
        <v>47859.68</v>
      </c>
      <c r="Q637">
        <v>22522.2</v>
      </c>
      <c r="R637" t="s">
        <v>27</v>
      </c>
      <c r="S637">
        <f t="shared" si="27"/>
        <v>2</v>
      </c>
      <c r="T637" s="2">
        <f t="shared" si="28"/>
        <v>0.68000002273312388</v>
      </c>
      <c r="U637" s="2">
        <f t="shared" si="29"/>
        <v>0.31999997726687607</v>
      </c>
    </row>
    <row r="638" spans="1:21" x14ac:dyDescent="0.3">
      <c r="A638">
        <v>10637</v>
      </c>
      <c r="B638" t="s">
        <v>121</v>
      </c>
      <c r="C638" t="s">
        <v>122</v>
      </c>
      <c r="D638" t="s">
        <v>20</v>
      </c>
      <c r="E638">
        <v>23</v>
      </c>
      <c r="F638" t="s">
        <v>59</v>
      </c>
      <c r="G638" t="s">
        <v>70</v>
      </c>
      <c r="H638" t="s">
        <v>71</v>
      </c>
      <c r="I638" t="s">
        <v>43</v>
      </c>
      <c r="J638">
        <v>11</v>
      </c>
      <c r="K638" s="1">
        <v>45760</v>
      </c>
      <c r="L638" s="1">
        <v>45767</v>
      </c>
      <c r="M638" t="s">
        <v>112</v>
      </c>
      <c r="N638" t="s">
        <v>26</v>
      </c>
      <c r="O638">
        <v>62554.49</v>
      </c>
      <c r="P638">
        <v>42537.05</v>
      </c>
      <c r="Q638">
        <v>20017.439999999999</v>
      </c>
      <c r="R638" t="s">
        <v>32</v>
      </c>
      <c r="S638">
        <f t="shared" si="27"/>
        <v>7</v>
      </c>
      <c r="T638" s="2">
        <f t="shared" si="28"/>
        <v>0.67999994884459936</v>
      </c>
      <c r="U638" s="2">
        <f t="shared" si="29"/>
        <v>0.32000005115540064</v>
      </c>
    </row>
    <row r="639" spans="1:21" x14ac:dyDescent="0.3">
      <c r="A639">
        <v>10638</v>
      </c>
      <c r="B639" t="s">
        <v>152</v>
      </c>
      <c r="C639" t="s">
        <v>153</v>
      </c>
      <c r="D639" t="s">
        <v>20</v>
      </c>
      <c r="E639">
        <v>27</v>
      </c>
      <c r="F639" t="s">
        <v>59</v>
      </c>
      <c r="G639" t="s">
        <v>47</v>
      </c>
      <c r="H639" t="s">
        <v>48</v>
      </c>
      <c r="I639" t="s">
        <v>49</v>
      </c>
      <c r="J639">
        <v>8</v>
      </c>
      <c r="K639" s="1">
        <v>45669</v>
      </c>
      <c r="L639" s="1">
        <v>45675</v>
      </c>
      <c r="M639" t="s">
        <v>85</v>
      </c>
      <c r="N639" t="s">
        <v>51</v>
      </c>
      <c r="O639">
        <v>70800.509999999995</v>
      </c>
      <c r="P639">
        <v>57348.41</v>
      </c>
      <c r="Q639">
        <v>13452.1</v>
      </c>
      <c r="R639" t="s">
        <v>32</v>
      </c>
      <c r="S639">
        <f t="shared" si="27"/>
        <v>6</v>
      </c>
      <c r="T639" s="2">
        <f t="shared" si="28"/>
        <v>0.80999995621500476</v>
      </c>
      <c r="U639" s="2">
        <f t="shared" si="29"/>
        <v>0.19000004378499535</v>
      </c>
    </row>
    <row r="640" spans="1:21" x14ac:dyDescent="0.3">
      <c r="A640">
        <v>10639</v>
      </c>
      <c r="B640" t="s">
        <v>110</v>
      </c>
      <c r="C640" t="s">
        <v>111</v>
      </c>
      <c r="D640" t="s">
        <v>20</v>
      </c>
      <c r="E640">
        <v>44</v>
      </c>
      <c r="F640" t="s">
        <v>35</v>
      </c>
      <c r="G640" t="s">
        <v>88</v>
      </c>
      <c r="H640" t="s">
        <v>89</v>
      </c>
      <c r="I640" t="s">
        <v>62</v>
      </c>
      <c r="J640">
        <v>14</v>
      </c>
      <c r="K640" s="1">
        <v>45707</v>
      </c>
      <c r="L640" s="1">
        <v>45713</v>
      </c>
      <c r="M640" t="s">
        <v>63</v>
      </c>
      <c r="N640" t="s">
        <v>26</v>
      </c>
      <c r="O640">
        <v>17075.38</v>
      </c>
      <c r="P640">
        <v>11440.5</v>
      </c>
      <c r="Q640">
        <v>5634.88</v>
      </c>
      <c r="R640" t="s">
        <v>32</v>
      </c>
      <c r="S640">
        <f t="shared" si="27"/>
        <v>6</v>
      </c>
      <c r="T640" s="2">
        <f t="shared" si="28"/>
        <v>0.66999973060628804</v>
      </c>
      <c r="U640" s="2">
        <f t="shared" si="29"/>
        <v>0.33000026939371185</v>
      </c>
    </row>
    <row r="641" spans="1:21" x14ac:dyDescent="0.3">
      <c r="A641">
        <v>10640</v>
      </c>
      <c r="B641" t="s">
        <v>115</v>
      </c>
      <c r="C641" t="s">
        <v>116</v>
      </c>
      <c r="D641" t="s">
        <v>30</v>
      </c>
      <c r="E641">
        <v>18</v>
      </c>
      <c r="F641" t="s">
        <v>31</v>
      </c>
      <c r="G641" t="s">
        <v>22</v>
      </c>
      <c r="H641" t="s">
        <v>23</v>
      </c>
      <c r="I641" t="s">
        <v>24</v>
      </c>
      <c r="J641">
        <v>15</v>
      </c>
      <c r="K641" s="1">
        <v>45767</v>
      </c>
      <c r="L641" s="1">
        <v>45781</v>
      </c>
      <c r="M641" t="s">
        <v>76</v>
      </c>
      <c r="N641" t="s">
        <v>26</v>
      </c>
      <c r="O641">
        <v>363340.77</v>
      </c>
      <c r="P641">
        <v>294306.02</v>
      </c>
      <c r="Q641">
        <v>69034.75</v>
      </c>
      <c r="R641" t="s">
        <v>32</v>
      </c>
      <c r="S641">
        <f t="shared" si="27"/>
        <v>14</v>
      </c>
      <c r="T641" s="2">
        <f t="shared" si="28"/>
        <v>0.80999998981672217</v>
      </c>
      <c r="U641" s="2">
        <f t="shared" si="29"/>
        <v>0.19000001018327781</v>
      </c>
    </row>
    <row r="642" spans="1:21" x14ac:dyDescent="0.3">
      <c r="A642">
        <v>10641</v>
      </c>
      <c r="B642" t="s">
        <v>73</v>
      </c>
      <c r="C642" t="s">
        <v>74</v>
      </c>
      <c r="D642" t="s">
        <v>20</v>
      </c>
      <c r="E642">
        <v>53</v>
      </c>
      <c r="F642" t="s">
        <v>75</v>
      </c>
      <c r="G642" t="s">
        <v>70</v>
      </c>
      <c r="H642" t="s">
        <v>71</v>
      </c>
      <c r="I642" t="s">
        <v>43</v>
      </c>
      <c r="J642">
        <v>11</v>
      </c>
      <c r="K642" s="1">
        <v>45659</v>
      </c>
      <c r="L642" s="1">
        <v>45671</v>
      </c>
      <c r="M642" t="s">
        <v>72</v>
      </c>
      <c r="N642" t="s">
        <v>26</v>
      </c>
      <c r="O642">
        <v>13205.25</v>
      </c>
      <c r="P642">
        <v>9639.83</v>
      </c>
      <c r="Q642">
        <v>3565.42</v>
      </c>
      <c r="R642" t="s">
        <v>32</v>
      </c>
      <c r="S642">
        <f t="shared" si="27"/>
        <v>12</v>
      </c>
      <c r="T642" s="2">
        <f t="shared" si="28"/>
        <v>0.72999981068135777</v>
      </c>
      <c r="U642" s="2">
        <f t="shared" si="29"/>
        <v>0.27000018931864223</v>
      </c>
    </row>
    <row r="643" spans="1:21" x14ac:dyDescent="0.3">
      <c r="A643">
        <v>10642</v>
      </c>
      <c r="B643" t="s">
        <v>106</v>
      </c>
      <c r="C643" t="s">
        <v>107</v>
      </c>
      <c r="D643" t="s">
        <v>30</v>
      </c>
      <c r="E643">
        <v>37</v>
      </c>
      <c r="F643" t="s">
        <v>31</v>
      </c>
      <c r="G643" t="s">
        <v>36</v>
      </c>
      <c r="H643" t="s">
        <v>37</v>
      </c>
      <c r="I643" t="s">
        <v>24</v>
      </c>
      <c r="J643">
        <v>12</v>
      </c>
      <c r="K643" s="1">
        <v>45831</v>
      </c>
      <c r="L643" s="1">
        <v>45839</v>
      </c>
      <c r="M643" t="s">
        <v>66</v>
      </c>
      <c r="N643" t="s">
        <v>26</v>
      </c>
      <c r="O643">
        <v>63066.98</v>
      </c>
      <c r="P643">
        <v>40993.54</v>
      </c>
      <c r="Q643">
        <v>22073.439999999999</v>
      </c>
      <c r="R643" t="s">
        <v>27</v>
      </c>
      <c r="S643">
        <f t="shared" ref="S643:S706" si="30">L643-K643</f>
        <v>8</v>
      </c>
      <c r="T643" s="2">
        <f t="shared" ref="T643:T706" si="31">P643/O643</f>
        <v>0.65000004756847396</v>
      </c>
      <c r="U643" s="2">
        <f t="shared" ref="U643:U706" si="32">Q643/O643</f>
        <v>0.34999995243152593</v>
      </c>
    </row>
    <row r="644" spans="1:21" x14ac:dyDescent="0.3">
      <c r="A644">
        <v>10643</v>
      </c>
      <c r="B644" t="s">
        <v>154</v>
      </c>
      <c r="C644" t="s">
        <v>155</v>
      </c>
      <c r="D644" t="s">
        <v>30</v>
      </c>
      <c r="E644">
        <v>67</v>
      </c>
      <c r="F644" t="s">
        <v>119</v>
      </c>
      <c r="G644" t="s">
        <v>22</v>
      </c>
      <c r="H644" t="s">
        <v>23</v>
      </c>
      <c r="I644" t="s">
        <v>24</v>
      </c>
      <c r="J644">
        <v>15</v>
      </c>
      <c r="K644" s="1">
        <v>45805</v>
      </c>
      <c r="L644" s="1">
        <v>45817</v>
      </c>
      <c r="M644" t="s">
        <v>25</v>
      </c>
      <c r="N644" t="s">
        <v>26</v>
      </c>
      <c r="O644">
        <v>82053.27</v>
      </c>
      <c r="P644">
        <v>59898.89</v>
      </c>
      <c r="Q644">
        <v>22154.38</v>
      </c>
      <c r="R644" t="s">
        <v>32</v>
      </c>
      <c r="S644">
        <f t="shared" si="30"/>
        <v>12</v>
      </c>
      <c r="T644" s="2">
        <f t="shared" si="31"/>
        <v>0.7300000353428937</v>
      </c>
      <c r="U644" s="2">
        <f t="shared" si="32"/>
        <v>0.2699999646571063</v>
      </c>
    </row>
    <row r="645" spans="1:21" x14ac:dyDescent="0.3">
      <c r="A645">
        <v>10644</v>
      </c>
      <c r="B645" t="s">
        <v>160</v>
      </c>
      <c r="C645" t="s">
        <v>161</v>
      </c>
      <c r="D645" t="s">
        <v>20</v>
      </c>
      <c r="E645">
        <v>18</v>
      </c>
      <c r="F645" t="s">
        <v>54</v>
      </c>
      <c r="G645" t="s">
        <v>55</v>
      </c>
      <c r="H645" t="s">
        <v>56</v>
      </c>
      <c r="I645" t="s">
        <v>49</v>
      </c>
      <c r="J645">
        <v>10</v>
      </c>
      <c r="K645" s="1">
        <v>45671</v>
      </c>
      <c r="L645" s="1">
        <v>45685</v>
      </c>
      <c r="M645" t="s">
        <v>85</v>
      </c>
      <c r="N645" t="s">
        <v>26</v>
      </c>
      <c r="O645">
        <v>56765.39</v>
      </c>
      <c r="P645">
        <v>38032.81</v>
      </c>
      <c r="Q645">
        <v>18732.580000000002</v>
      </c>
      <c r="R645" t="s">
        <v>32</v>
      </c>
      <c r="S645">
        <f t="shared" si="30"/>
        <v>14</v>
      </c>
      <c r="T645" s="2">
        <f t="shared" si="31"/>
        <v>0.66999997709872161</v>
      </c>
      <c r="U645" s="2">
        <f t="shared" si="32"/>
        <v>0.33000002290127844</v>
      </c>
    </row>
    <row r="646" spans="1:21" x14ac:dyDescent="0.3">
      <c r="A646">
        <v>10645</v>
      </c>
      <c r="B646" t="s">
        <v>102</v>
      </c>
      <c r="C646" t="s">
        <v>103</v>
      </c>
      <c r="D646" t="s">
        <v>30</v>
      </c>
      <c r="E646">
        <v>59</v>
      </c>
      <c r="F646" t="s">
        <v>75</v>
      </c>
      <c r="G646" t="s">
        <v>36</v>
      </c>
      <c r="H646" t="s">
        <v>37</v>
      </c>
      <c r="I646" t="s">
        <v>24</v>
      </c>
      <c r="J646">
        <v>12</v>
      </c>
      <c r="K646" s="1">
        <v>45851</v>
      </c>
      <c r="L646" s="1">
        <v>45854</v>
      </c>
      <c r="M646" t="s">
        <v>66</v>
      </c>
      <c r="N646" t="s">
        <v>51</v>
      </c>
      <c r="O646">
        <v>69956.03</v>
      </c>
      <c r="P646">
        <v>42673.18</v>
      </c>
      <c r="Q646">
        <v>27282.85</v>
      </c>
      <c r="R646" t="s">
        <v>32</v>
      </c>
      <c r="S646">
        <f t="shared" si="30"/>
        <v>3</v>
      </c>
      <c r="T646" s="2">
        <f t="shared" si="31"/>
        <v>0.61000002430097877</v>
      </c>
      <c r="U646" s="2">
        <f t="shared" si="32"/>
        <v>0.38999997569902123</v>
      </c>
    </row>
    <row r="647" spans="1:21" x14ac:dyDescent="0.3">
      <c r="A647">
        <v>10646</v>
      </c>
      <c r="B647" t="s">
        <v>146</v>
      </c>
      <c r="C647" t="s">
        <v>147</v>
      </c>
      <c r="D647" t="s">
        <v>30</v>
      </c>
      <c r="E647">
        <v>75</v>
      </c>
      <c r="F647" t="s">
        <v>84</v>
      </c>
      <c r="G647" t="s">
        <v>41</v>
      </c>
      <c r="H647" t="s">
        <v>42</v>
      </c>
      <c r="I647" t="s">
        <v>43</v>
      </c>
      <c r="J647">
        <v>9</v>
      </c>
      <c r="K647" s="1">
        <v>45925</v>
      </c>
      <c r="L647" s="1">
        <v>45933</v>
      </c>
      <c r="M647" t="s">
        <v>44</v>
      </c>
      <c r="N647" t="s">
        <v>26</v>
      </c>
      <c r="O647">
        <v>25905.17</v>
      </c>
      <c r="P647">
        <v>19946.98</v>
      </c>
      <c r="Q647">
        <v>5958.19</v>
      </c>
      <c r="R647" t="s">
        <v>32</v>
      </c>
      <c r="S647">
        <f t="shared" si="30"/>
        <v>8</v>
      </c>
      <c r="T647" s="2">
        <f t="shared" si="31"/>
        <v>0.76999996525790027</v>
      </c>
      <c r="U647" s="2">
        <f t="shared" si="32"/>
        <v>0.23000003474209973</v>
      </c>
    </row>
    <row r="648" spans="1:21" x14ac:dyDescent="0.3">
      <c r="A648">
        <v>10647</v>
      </c>
      <c r="B648" t="s">
        <v>57</v>
      </c>
      <c r="C648" t="s">
        <v>58</v>
      </c>
      <c r="D648" t="s">
        <v>20</v>
      </c>
      <c r="E648">
        <v>45</v>
      </c>
      <c r="F648" t="s">
        <v>59</v>
      </c>
      <c r="G648" t="s">
        <v>47</v>
      </c>
      <c r="H648" t="s">
        <v>48</v>
      </c>
      <c r="I648" t="s">
        <v>49</v>
      </c>
      <c r="J648">
        <v>8</v>
      </c>
      <c r="K648" s="1">
        <v>45875</v>
      </c>
      <c r="L648" s="1">
        <v>45884</v>
      </c>
      <c r="M648" t="s">
        <v>101</v>
      </c>
      <c r="N648" t="s">
        <v>26</v>
      </c>
      <c r="O648">
        <v>20823.5</v>
      </c>
      <c r="P648">
        <v>16034.1</v>
      </c>
      <c r="Q648">
        <v>4789.3999999999996</v>
      </c>
      <c r="R648" t="s">
        <v>27</v>
      </c>
      <c r="S648">
        <f t="shared" si="30"/>
        <v>9</v>
      </c>
      <c r="T648" s="2">
        <f t="shared" si="31"/>
        <v>0.77000024011333346</v>
      </c>
      <c r="U648" s="2">
        <f t="shared" si="32"/>
        <v>0.22999975988666649</v>
      </c>
    </row>
    <row r="649" spans="1:21" x14ac:dyDescent="0.3">
      <c r="A649">
        <v>10648</v>
      </c>
      <c r="B649" t="s">
        <v>144</v>
      </c>
      <c r="C649" t="s">
        <v>145</v>
      </c>
      <c r="D649" t="s">
        <v>30</v>
      </c>
      <c r="E649">
        <v>37</v>
      </c>
      <c r="F649" t="s">
        <v>40</v>
      </c>
      <c r="G649" t="s">
        <v>88</v>
      </c>
      <c r="H649" t="s">
        <v>89</v>
      </c>
      <c r="I649" t="s">
        <v>62</v>
      </c>
      <c r="J649">
        <v>14</v>
      </c>
      <c r="K649" s="1">
        <v>45693</v>
      </c>
      <c r="L649" s="1">
        <v>45698</v>
      </c>
      <c r="M649" t="s">
        <v>63</v>
      </c>
      <c r="N649" t="s">
        <v>51</v>
      </c>
      <c r="O649">
        <v>39653.5</v>
      </c>
      <c r="P649">
        <v>26171.31</v>
      </c>
      <c r="Q649">
        <v>13482.19</v>
      </c>
      <c r="R649" t="s">
        <v>27</v>
      </c>
      <c r="S649">
        <f t="shared" si="30"/>
        <v>5</v>
      </c>
      <c r="T649" s="2">
        <f t="shared" si="31"/>
        <v>0.66</v>
      </c>
      <c r="U649" s="2">
        <f t="shared" si="32"/>
        <v>0.34</v>
      </c>
    </row>
    <row r="650" spans="1:21" x14ac:dyDescent="0.3">
      <c r="A650">
        <v>10649</v>
      </c>
      <c r="B650" t="s">
        <v>160</v>
      </c>
      <c r="C650" t="s">
        <v>161</v>
      </c>
      <c r="D650" t="s">
        <v>20</v>
      </c>
      <c r="E650">
        <v>18</v>
      </c>
      <c r="F650" t="s">
        <v>54</v>
      </c>
      <c r="G650" t="s">
        <v>41</v>
      </c>
      <c r="H650" t="s">
        <v>42</v>
      </c>
      <c r="I650" t="s">
        <v>43</v>
      </c>
      <c r="J650">
        <v>9</v>
      </c>
      <c r="K650" s="1">
        <v>45903</v>
      </c>
      <c r="L650" s="1">
        <v>45906</v>
      </c>
      <c r="M650" t="s">
        <v>44</v>
      </c>
      <c r="N650" t="s">
        <v>26</v>
      </c>
      <c r="O650">
        <v>23721.62</v>
      </c>
      <c r="P650">
        <v>15656.27</v>
      </c>
      <c r="Q650">
        <v>8065.35</v>
      </c>
      <c r="R650" t="s">
        <v>32</v>
      </c>
      <c r="S650">
        <f t="shared" si="30"/>
        <v>3</v>
      </c>
      <c r="T650" s="2">
        <f t="shared" si="31"/>
        <v>0.66000003372450955</v>
      </c>
      <c r="U650" s="2">
        <f t="shared" si="32"/>
        <v>0.33999996627549051</v>
      </c>
    </row>
    <row r="651" spans="1:21" x14ac:dyDescent="0.3">
      <c r="A651">
        <v>10650</v>
      </c>
      <c r="B651" t="s">
        <v>113</v>
      </c>
      <c r="C651" t="s">
        <v>114</v>
      </c>
      <c r="D651" t="s">
        <v>30</v>
      </c>
      <c r="E651">
        <v>33</v>
      </c>
      <c r="F651" t="s">
        <v>59</v>
      </c>
      <c r="G651" t="s">
        <v>47</v>
      </c>
      <c r="H651" t="s">
        <v>48</v>
      </c>
      <c r="I651" t="s">
        <v>49</v>
      </c>
      <c r="J651">
        <v>8</v>
      </c>
      <c r="K651" s="1">
        <v>45796</v>
      </c>
      <c r="L651" s="1">
        <v>45804</v>
      </c>
      <c r="M651" t="s">
        <v>50</v>
      </c>
      <c r="N651" t="s">
        <v>26</v>
      </c>
      <c r="O651">
        <v>256800.99</v>
      </c>
      <c r="P651">
        <v>208008.8</v>
      </c>
      <c r="Q651">
        <v>48792.19</v>
      </c>
      <c r="R651" t="s">
        <v>32</v>
      </c>
      <c r="S651">
        <f t="shared" si="30"/>
        <v>8</v>
      </c>
      <c r="T651" s="2">
        <f t="shared" si="31"/>
        <v>0.80999999260127464</v>
      </c>
      <c r="U651" s="2">
        <f t="shared" si="32"/>
        <v>0.19000000739872538</v>
      </c>
    </row>
    <row r="652" spans="1:21" x14ac:dyDescent="0.3">
      <c r="A652">
        <v>10651</v>
      </c>
      <c r="B652" t="s">
        <v>82</v>
      </c>
      <c r="C652" t="s">
        <v>83</v>
      </c>
      <c r="D652" t="s">
        <v>20</v>
      </c>
      <c r="E652">
        <v>74</v>
      </c>
      <c r="F652" t="s">
        <v>84</v>
      </c>
      <c r="G652" t="s">
        <v>41</v>
      </c>
      <c r="H652" t="s">
        <v>42</v>
      </c>
      <c r="I652" t="s">
        <v>43</v>
      </c>
      <c r="J652">
        <v>9</v>
      </c>
      <c r="K652" s="1">
        <v>45733</v>
      </c>
      <c r="L652" s="1">
        <v>45741</v>
      </c>
      <c r="M652" t="s">
        <v>112</v>
      </c>
      <c r="N652" t="s">
        <v>26</v>
      </c>
      <c r="O652">
        <v>72108.12</v>
      </c>
      <c r="P652">
        <v>60570.82</v>
      </c>
      <c r="Q652">
        <v>11537.3</v>
      </c>
      <c r="R652" t="s">
        <v>32</v>
      </c>
      <c r="S652">
        <f t="shared" si="30"/>
        <v>8</v>
      </c>
      <c r="T652" s="2">
        <f t="shared" si="31"/>
        <v>0.83999998890554906</v>
      </c>
      <c r="U652" s="2">
        <f t="shared" si="32"/>
        <v>0.16000001109445094</v>
      </c>
    </row>
    <row r="653" spans="1:21" x14ac:dyDescent="0.3">
      <c r="A653">
        <v>10652</v>
      </c>
      <c r="B653" t="s">
        <v>127</v>
      </c>
      <c r="C653" t="s">
        <v>128</v>
      </c>
      <c r="D653" t="s">
        <v>20</v>
      </c>
      <c r="E653">
        <v>41</v>
      </c>
      <c r="F653" t="s">
        <v>54</v>
      </c>
      <c r="G653" t="s">
        <v>41</v>
      </c>
      <c r="H653" t="s">
        <v>42</v>
      </c>
      <c r="I653" t="s">
        <v>43</v>
      </c>
      <c r="J653">
        <v>9</v>
      </c>
      <c r="K653" s="1">
        <v>45856</v>
      </c>
      <c r="L653" s="1">
        <v>45861</v>
      </c>
      <c r="M653" t="s">
        <v>44</v>
      </c>
      <c r="N653" t="s">
        <v>51</v>
      </c>
      <c r="O653">
        <v>24362.19</v>
      </c>
      <c r="P653">
        <v>19002.509999999998</v>
      </c>
      <c r="Q653">
        <v>5359.68</v>
      </c>
      <c r="R653" t="s">
        <v>27</v>
      </c>
      <c r="S653">
        <f t="shared" si="30"/>
        <v>5</v>
      </c>
      <c r="T653" s="2">
        <f t="shared" si="31"/>
        <v>0.78000007388498327</v>
      </c>
      <c r="U653" s="2">
        <f t="shared" si="32"/>
        <v>0.21999992611501679</v>
      </c>
    </row>
    <row r="654" spans="1:21" x14ac:dyDescent="0.3">
      <c r="A654">
        <v>10653</v>
      </c>
      <c r="B654" t="s">
        <v>92</v>
      </c>
      <c r="C654" t="s">
        <v>93</v>
      </c>
      <c r="D654" t="s">
        <v>20</v>
      </c>
      <c r="E654">
        <v>40</v>
      </c>
      <c r="F654" t="s">
        <v>54</v>
      </c>
      <c r="G654" t="s">
        <v>60</v>
      </c>
      <c r="H654" t="s">
        <v>61</v>
      </c>
      <c r="I654" t="s">
        <v>62</v>
      </c>
      <c r="J654">
        <v>18</v>
      </c>
      <c r="K654" s="1">
        <v>45858</v>
      </c>
      <c r="L654" s="1">
        <v>45860</v>
      </c>
      <c r="M654" t="s">
        <v>96</v>
      </c>
      <c r="N654" t="s">
        <v>26</v>
      </c>
      <c r="O654">
        <v>131418.74</v>
      </c>
      <c r="P654">
        <v>81479.62</v>
      </c>
      <c r="Q654">
        <v>49939.12</v>
      </c>
      <c r="R654" t="s">
        <v>32</v>
      </c>
      <c r="S654">
        <f t="shared" si="30"/>
        <v>2</v>
      </c>
      <c r="T654" s="2">
        <f t="shared" si="31"/>
        <v>0.62000000913111786</v>
      </c>
      <c r="U654" s="2">
        <f t="shared" si="32"/>
        <v>0.3799999908688822</v>
      </c>
    </row>
    <row r="655" spans="1:21" x14ac:dyDescent="0.3">
      <c r="A655">
        <v>10654</v>
      </c>
      <c r="B655" t="s">
        <v>108</v>
      </c>
      <c r="C655" t="s">
        <v>109</v>
      </c>
      <c r="D655" t="s">
        <v>20</v>
      </c>
      <c r="E655">
        <v>34</v>
      </c>
      <c r="F655" t="s">
        <v>40</v>
      </c>
      <c r="G655" t="s">
        <v>41</v>
      </c>
      <c r="H655" t="s">
        <v>42</v>
      </c>
      <c r="I655" t="s">
        <v>43</v>
      </c>
      <c r="J655">
        <v>9</v>
      </c>
      <c r="K655" s="1">
        <v>45817</v>
      </c>
      <c r="L655" s="1">
        <v>45830</v>
      </c>
      <c r="M655" t="s">
        <v>112</v>
      </c>
      <c r="N655" t="s">
        <v>26</v>
      </c>
      <c r="O655">
        <v>30784.94</v>
      </c>
      <c r="P655">
        <v>21549.46</v>
      </c>
      <c r="Q655">
        <v>9235.48</v>
      </c>
      <c r="R655" t="s">
        <v>32</v>
      </c>
      <c r="S655">
        <f t="shared" si="30"/>
        <v>13</v>
      </c>
      <c r="T655" s="2">
        <f t="shared" si="31"/>
        <v>0.7000000649668312</v>
      </c>
      <c r="U655" s="2">
        <f t="shared" si="32"/>
        <v>0.2999999350331688</v>
      </c>
    </row>
    <row r="656" spans="1:21" x14ac:dyDescent="0.3">
      <c r="A656">
        <v>10655</v>
      </c>
      <c r="B656" t="s">
        <v>92</v>
      </c>
      <c r="C656" t="s">
        <v>93</v>
      </c>
      <c r="D656" t="s">
        <v>20</v>
      </c>
      <c r="E656">
        <v>40</v>
      </c>
      <c r="F656" t="s">
        <v>54</v>
      </c>
      <c r="G656" t="s">
        <v>41</v>
      </c>
      <c r="H656" t="s">
        <v>42</v>
      </c>
      <c r="I656" t="s">
        <v>43</v>
      </c>
      <c r="J656">
        <v>9</v>
      </c>
      <c r="K656" s="1">
        <v>45992</v>
      </c>
      <c r="L656" s="1">
        <v>46005</v>
      </c>
      <c r="M656" t="s">
        <v>44</v>
      </c>
      <c r="N656" t="s">
        <v>26</v>
      </c>
      <c r="O656">
        <v>24349.99</v>
      </c>
      <c r="P656">
        <v>17775.490000000002</v>
      </c>
      <c r="Q656">
        <v>6574.5</v>
      </c>
      <c r="R656" t="s">
        <v>32</v>
      </c>
      <c r="S656">
        <f t="shared" si="30"/>
        <v>13</v>
      </c>
      <c r="T656" s="2">
        <f t="shared" si="31"/>
        <v>0.72999988911699765</v>
      </c>
      <c r="U656" s="2">
        <f t="shared" si="32"/>
        <v>0.27000011088300241</v>
      </c>
    </row>
    <row r="657" spans="1:21" x14ac:dyDescent="0.3">
      <c r="A657">
        <v>10656</v>
      </c>
      <c r="B657" t="s">
        <v>106</v>
      </c>
      <c r="C657" t="s">
        <v>107</v>
      </c>
      <c r="D657" t="s">
        <v>30</v>
      </c>
      <c r="E657">
        <v>37</v>
      </c>
      <c r="F657" t="s">
        <v>31</v>
      </c>
      <c r="G657" t="s">
        <v>70</v>
      </c>
      <c r="H657" t="s">
        <v>71</v>
      </c>
      <c r="I657" t="s">
        <v>43</v>
      </c>
      <c r="J657">
        <v>11</v>
      </c>
      <c r="K657" s="1">
        <v>45708</v>
      </c>
      <c r="L657" s="1">
        <v>45719</v>
      </c>
      <c r="M657" t="s">
        <v>112</v>
      </c>
      <c r="N657" t="s">
        <v>51</v>
      </c>
      <c r="O657">
        <v>58845.32</v>
      </c>
      <c r="P657">
        <v>35307.19</v>
      </c>
      <c r="Q657">
        <v>23538.13</v>
      </c>
      <c r="R657" t="s">
        <v>32</v>
      </c>
      <c r="S657">
        <f t="shared" si="30"/>
        <v>11</v>
      </c>
      <c r="T657" s="2">
        <f t="shared" si="31"/>
        <v>0.59999996601259031</v>
      </c>
      <c r="U657" s="2">
        <f t="shared" si="32"/>
        <v>0.40000003398740974</v>
      </c>
    </row>
    <row r="658" spans="1:21" x14ac:dyDescent="0.3">
      <c r="A658">
        <v>10657</v>
      </c>
      <c r="B658" t="s">
        <v>144</v>
      </c>
      <c r="C658" t="s">
        <v>145</v>
      </c>
      <c r="D658" t="s">
        <v>30</v>
      </c>
      <c r="E658">
        <v>37</v>
      </c>
      <c r="F658" t="s">
        <v>40</v>
      </c>
      <c r="G658" t="s">
        <v>55</v>
      </c>
      <c r="H658" t="s">
        <v>56</v>
      </c>
      <c r="I658" t="s">
        <v>49</v>
      </c>
      <c r="J658">
        <v>10</v>
      </c>
      <c r="K658" s="1">
        <v>45896</v>
      </c>
      <c r="L658" s="1">
        <v>45906</v>
      </c>
      <c r="M658" t="s">
        <v>50</v>
      </c>
      <c r="N658" t="s">
        <v>26</v>
      </c>
      <c r="O658">
        <v>333671.15999999997</v>
      </c>
      <c r="P658">
        <v>213549.54</v>
      </c>
      <c r="Q658">
        <v>120121.62</v>
      </c>
      <c r="R658" t="s">
        <v>32</v>
      </c>
      <c r="S658">
        <f t="shared" si="30"/>
        <v>10</v>
      </c>
      <c r="T658" s="2">
        <f t="shared" si="31"/>
        <v>0.6399999928072897</v>
      </c>
      <c r="U658" s="2">
        <f t="shared" si="32"/>
        <v>0.36000000719271036</v>
      </c>
    </row>
    <row r="659" spans="1:21" x14ac:dyDescent="0.3">
      <c r="A659">
        <v>10658</v>
      </c>
      <c r="B659" t="s">
        <v>158</v>
      </c>
      <c r="C659" t="s">
        <v>159</v>
      </c>
      <c r="D659" t="s">
        <v>30</v>
      </c>
      <c r="E659">
        <v>18</v>
      </c>
      <c r="F659" t="s">
        <v>35</v>
      </c>
      <c r="G659" t="s">
        <v>55</v>
      </c>
      <c r="H659" t="s">
        <v>56</v>
      </c>
      <c r="I659" t="s">
        <v>49</v>
      </c>
      <c r="J659">
        <v>10</v>
      </c>
      <c r="K659" s="1">
        <v>45711</v>
      </c>
      <c r="L659" s="1">
        <v>45722</v>
      </c>
      <c r="M659" t="s">
        <v>85</v>
      </c>
      <c r="N659" t="s">
        <v>51</v>
      </c>
      <c r="O659">
        <v>93826.39</v>
      </c>
      <c r="P659">
        <v>73184.58</v>
      </c>
      <c r="Q659">
        <v>20641.810000000001</v>
      </c>
      <c r="R659" t="s">
        <v>32</v>
      </c>
      <c r="S659">
        <f t="shared" si="30"/>
        <v>11</v>
      </c>
      <c r="T659" s="2">
        <f t="shared" si="31"/>
        <v>0.77999995523647458</v>
      </c>
      <c r="U659" s="2">
        <f t="shared" si="32"/>
        <v>0.2200000447635255</v>
      </c>
    </row>
    <row r="660" spans="1:21" x14ac:dyDescent="0.3">
      <c r="A660">
        <v>10659</v>
      </c>
      <c r="B660" t="s">
        <v>127</v>
      </c>
      <c r="C660" t="s">
        <v>128</v>
      </c>
      <c r="D660" t="s">
        <v>20</v>
      </c>
      <c r="E660">
        <v>41</v>
      </c>
      <c r="F660" t="s">
        <v>54</v>
      </c>
      <c r="G660" t="s">
        <v>47</v>
      </c>
      <c r="H660" t="s">
        <v>48</v>
      </c>
      <c r="I660" t="s">
        <v>49</v>
      </c>
      <c r="J660">
        <v>8</v>
      </c>
      <c r="K660" s="1">
        <v>45763</v>
      </c>
      <c r="L660" s="1">
        <v>45773</v>
      </c>
      <c r="M660" t="s">
        <v>50</v>
      </c>
      <c r="N660" t="s">
        <v>26</v>
      </c>
      <c r="O660">
        <v>176834.55</v>
      </c>
      <c r="P660">
        <v>143235.99</v>
      </c>
      <c r="Q660">
        <v>33598.559999999998</v>
      </c>
      <c r="R660" t="s">
        <v>32</v>
      </c>
      <c r="S660">
        <f t="shared" si="30"/>
        <v>10</v>
      </c>
      <c r="T660" s="2">
        <f t="shared" si="31"/>
        <v>0.81000002544751581</v>
      </c>
      <c r="U660" s="2">
        <f t="shared" si="32"/>
        <v>0.18999997455248424</v>
      </c>
    </row>
    <row r="661" spans="1:21" x14ac:dyDescent="0.3">
      <c r="A661">
        <v>10660</v>
      </c>
      <c r="B661" t="s">
        <v>141</v>
      </c>
      <c r="C661" t="s">
        <v>142</v>
      </c>
      <c r="D661" t="s">
        <v>30</v>
      </c>
      <c r="E661">
        <v>47</v>
      </c>
      <c r="F661" t="s">
        <v>54</v>
      </c>
      <c r="G661" t="s">
        <v>41</v>
      </c>
      <c r="H661" t="s">
        <v>42</v>
      </c>
      <c r="I661" t="s">
        <v>43</v>
      </c>
      <c r="J661">
        <v>9</v>
      </c>
      <c r="K661" s="1">
        <v>45903</v>
      </c>
      <c r="L661" s="1">
        <v>45914</v>
      </c>
      <c r="M661" t="s">
        <v>112</v>
      </c>
      <c r="N661" t="s">
        <v>26</v>
      </c>
      <c r="O661">
        <v>49765.09</v>
      </c>
      <c r="P661">
        <v>34337.910000000003</v>
      </c>
      <c r="Q661">
        <v>15427.18</v>
      </c>
      <c r="R661" t="s">
        <v>32</v>
      </c>
      <c r="S661">
        <f t="shared" si="30"/>
        <v>11</v>
      </c>
      <c r="T661" s="2">
        <f t="shared" si="31"/>
        <v>0.68999995780174428</v>
      </c>
      <c r="U661" s="2">
        <f t="shared" si="32"/>
        <v>0.31000004219825589</v>
      </c>
    </row>
    <row r="662" spans="1:21" x14ac:dyDescent="0.3">
      <c r="A662">
        <v>10661</v>
      </c>
      <c r="B662" t="s">
        <v>33</v>
      </c>
      <c r="C662" t="s">
        <v>34</v>
      </c>
      <c r="D662" t="s">
        <v>20</v>
      </c>
      <c r="E662">
        <v>26</v>
      </c>
      <c r="F662" t="s">
        <v>35</v>
      </c>
      <c r="G662" t="s">
        <v>41</v>
      </c>
      <c r="H662" t="s">
        <v>42</v>
      </c>
      <c r="I662" t="s">
        <v>43</v>
      </c>
      <c r="J662">
        <v>9</v>
      </c>
      <c r="K662" s="1">
        <v>45960</v>
      </c>
      <c r="L662" s="1">
        <v>45966</v>
      </c>
      <c r="M662" t="s">
        <v>72</v>
      </c>
      <c r="N662" t="s">
        <v>51</v>
      </c>
      <c r="O662">
        <v>17121.830000000002</v>
      </c>
      <c r="P662">
        <v>13012.59</v>
      </c>
      <c r="Q662">
        <v>4109.24</v>
      </c>
      <c r="R662" t="s">
        <v>32</v>
      </c>
      <c r="S662">
        <f t="shared" si="30"/>
        <v>6</v>
      </c>
      <c r="T662" s="2">
        <f t="shared" si="31"/>
        <v>0.75999995327602243</v>
      </c>
      <c r="U662" s="2">
        <f t="shared" si="32"/>
        <v>0.24000004672397748</v>
      </c>
    </row>
    <row r="663" spans="1:21" x14ac:dyDescent="0.3">
      <c r="A663">
        <v>10662</v>
      </c>
      <c r="B663" t="s">
        <v>94</v>
      </c>
      <c r="C663" t="s">
        <v>95</v>
      </c>
      <c r="D663" t="s">
        <v>30</v>
      </c>
      <c r="E663">
        <v>66</v>
      </c>
      <c r="F663" t="s">
        <v>54</v>
      </c>
      <c r="G663" t="s">
        <v>55</v>
      </c>
      <c r="H663" t="s">
        <v>56</v>
      </c>
      <c r="I663" t="s">
        <v>49</v>
      </c>
      <c r="J663">
        <v>10</v>
      </c>
      <c r="K663" s="1">
        <v>45783</v>
      </c>
      <c r="L663" s="1">
        <v>45795</v>
      </c>
      <c r="M663" t="s">
        <v>50</v>
      </c>
      <c r="N663" t="s">
        <v>51</v>
      </c>
      <c r="O663">
        <v>213058.92</v>
      </c>
      <c r="P663">
        <v>174708.31</v>
      </c>
      <c r="Q663">
        <v>38350.61</v>
      </c>
      <c r="R663" t="s">
        <v>27</v>
      </c>
      <c r="S663">
        <f t="shared" si="30"/>
        <v>12</v>
      </c>
      <c r="T663" s="2">
        <f t="shared" si="31"/>
        <v>0.8199999793484356</v>
      </c>
      <c r="U663" s="2">
        <f t="shared" si="32"/>
        <v>0.18000002065156437</v>
      </c>
    </row>
    <row r="664" spans="1:21" x14ac:dyDescent="0.3">
      <c r="A664">
        <v>10663</v>
      </c>
      <c r="B664" t="s">
        <v>78</v>
      </c>
      <c r="C664" t="s">
        <v>79</v>
      </c>
      <c r="D664" t="s">
        <v>20</v>
      </c>
      <c r="E664">
        <v>67</v>
      </c>
      <c r="F664" t="s">
        <v>35</v>
      </c>
      <c r="G664" t="s">
        <v>60</v>
      </c>
      <c r="H664" t="s">
        <v>61</v>
      </c>
      <c r="I664" t="s">
        <v>62</v>
      </c>
      <c r="J664">
        <v>18</v>
      </c>
      <c r="K664" s="1">
        <v>45904</v>
      </c>
      <c r="L664" s="1">
        <v>45914</v>
      </c>
      <c r="M664" t="s">
        <v>96</v>
      </c>
      <c r="N664" t="s">
        <v>26</v>
      </c>
      <c r="O664">
        <v>228871.26</v>
      </c>
      <c r="P664">
        <v>148766.32</v>
      </c>
      <c r="Q664">
        <v>80104.94</v>
      </c>
      <c r="R664" t="s">
        <v>27</v>
      </c>
      <c r="S664">
        <f t="shared" si="30"/>
        <v>10</v>
      </c>
      <c r="T664" s="2">
        <f t="shared" si="31"/>
        <v>0.65000000436926852</v>
      </c>
      <c r="U664" s="2">
        <f t="shared" si="32"/>
        <v>0.34999999563073142</v>
      </c>
    </row>
    <row r="665" spans="1:21" x14ac:dyDescent="0.3">
      <c r="A665">
        <v>10664</v>
      </c>
      <c r="B665" t="s">
        <v>92</v>
      </c>
      <c r="C665" t="s">
        <v>93</v>
      </c>
      <c r="D665" t="s">
        <v>20</v>
      </c>
      <c r="E665">
        <v>40</v>
      </c>
      <c r="F665" t="s">
        <v>54</v>
      </c>
      <c r="G665" t="s">
        <v>60</v>
      </c>
      <c r="H665" t="s">
        <v>61</v>
      </c>
      <c r="I665" t="s">
        <v>62</v>
      </c>
      <c r="J665">
        <v>18</v>
      </c>
      <c r="K665" s="1">
        <v>45735</v>
      </c>
      <c r="L665" s="1">
        <v>45744</v>
      </c>
      <c r="M665" t="s">
        <v>63</v>
      </c>
      <c r="N665" t="s">
        <v>26</v>
      </c>
      <c r="O665">
        <v>15027.2</v>
      </c>
      <c r="P665">
        <v>9917.9500000000007</v>
      </c>
      <c r="Q665">
        <v>5109.25</v>
      </c>
      <c r="R665" t="s">
        <v>32</v>
      </c>
      <c r="S665">
        <f t="shared" si="30"/>
        <v>9</v>
      </c>
      <c r="T665" s="2">
        <f t="shared" si="31"/>
        <v>0.65999986690800683</v>
      </c>
      <c r="U665" s="2">
        <f t="shared" si="32"/>
        <v>0.34000013309199317</v>
      </c>
    </row>
    <row r="666" spans="1:21" x14ac:dyDescent="0.3">
      <c r="A666">
        <v>10665</v>
      </c>
      <c r="B666" t="s">
        <v>144</v>
      </c>
      <c r="C666" t="s">
        <v>145</v>
      </c>
      <c r="D666" t="s">
        <v>30</v>
      </c>
      <c r="E666">
        <v>37</v>
      </c>
      <c r="F666" t="s">
        <v>40</v>
      </c>
      <c r="G666" t="s">
        <v>36</v>
      </c>
      <c r="H666" t="s">
        <v>37</v>
      </c>
      <c r="I666" t="s">
        <v>24</v>
      </c>
      <c r="J666">
        <v>12</v>
      </c>
      <c r="K666" s="1">
        <v>45678</v>
      </c>
      <c r="L666" s="1">
        <v>45683</v>
      </c>
      <c r="M666" t="s">
        <v>25</v>
      </c>
      <c r="N666" t="s">
        <v>51</v>
      </c>
      <c r="O666">
        <v>168587.49</v>
      </c>
      <c r="P666">
        <v>123068.87</v>
      </c>
      <c r="Q666">
        <v>45518.62</v>
      </c>
      <c r="R666" t="s">
        <v>27</v>
      </c>
      <c r="S666">
        <f t="shared" si="30"/>
        <v>5</v>
      </c>
      <c r="T666" s="2">
        <f t="shared" si="31"/>
        <v>0.7300000136427679</v>
      </c>
      <c r="U666" s="2">
        <f t="shared" si="32"/>
        <v>0.2699999863572321</v>
      </c>
    </row>
    <row r="667" spans="1:21" x14ac:dyDescent="0.3">
      <c r="A667">
        <v>10666</v>
      </c>
      <c r="B667" t="s">
        <v>86</v>
      </c>
      <c r="C667" t="s">
        <v>87</v>
      </c>
      <c r="D667" t="s">
        <v>30</v>
      </c>
      <c r="E667">
        <v>23</v>
      </c>
      <c r="F667" t="s">
        <v>31</v>
      </c>
      <c r="G667" t="s">
        <v>88</v>
      </c>
      <c r="H667" t="s">
        <v>89</v>
      </c>
      <c r="I667" t="s">
        <v>62</v>
      </c>
      <c r="J667">
        <v>14</v>
      </c>
      <c r="K667" s="1">
        <v>45790</v>
      </c>
      <c r="L667" s="1">
        <v>45796</v>
      </c>
      <c r="M667" t="s">
        <v>96</v>
      </c>
      <c r="N667" t="s">
        <v>26</v>
      </c>
      <c r="O667">
        <v>131039.82</v>
      </c>
      <c r="P667">
        <v>106142.25</v>
      </c>
      <c r="Q667">
        <v>24897.57</v>
      </c>
      <c r="R667" t="s">
        <v>32</v>
      </c>
      <c r="S667">
        <f t="shared" si="30"/>
        <v>6</v>
      </c>
      <c r="T667" s="2">
        <f t="shared" si="31"/>
        <v>0.8099999679486739</v>
      </c>
      <c r="U667" s="2">
        <f t="shared" si="32"/>
        <v>0.19000003205132607</v>
      </c>
    </row>
    <row r="668" spans="1:21" x14ac:dyDescent="0.3">
      <c r="A668">
        <v>10667</v>
      </c>
      <c r="B668" t="s">
        <v>144</v>
      </c>
      <c r="C668" t="s">
        <v>145</v>
      </c>
      <c r="D668" t="s">
        <v>30</v>
      </c>
      <c r="E668">
        <v>37</v>
      </c>
      <c r="F668" t="s">
        <v>40</v>
      </c>
      <c r="G668" t="s">
        <v>88</v>
      </c>
      <c r="H668" t="s">
        <v>89</v>
      </c>
      <c r="I668" t="s">
        <v>62</v>
      </c>
      <c r="J668">
        <v>14</v>
      </c>
      <c r="K668" s="1">
        <v>45667</v>
      </c>
      <c r="L668" s="1">
        <v>45678</v>
      </c>
      <c r="M668" t="s">
        <v>96</v>
      </c>
      <c r="N668" t="s">
        <v>26</v>
      </c>
      <c r="O668">
        <v>299364.38</v>
      </c>
      <c r="P668">
        <v>179618.63</v>
      </c>
      <c r="Q668">
        <v>119745.75</v>
      </c>
      <c r="R668" t="s">
        <v>32</v>
      </c>
      <c r="S668">
        <f t="shared" si="30"/>
        <v>11</v>
      </c>
      <c r="T668" s="2">
        <f t="shared" si="31"/>
        <v>0.60000000668082154</v>
      </c>
      <c r="U668" s="2">
        <f t="shared" si="32"/>
        <v>0.39999999331917846</v>
      </c>
    </row>
    <row r="669" spans="1:21" x14ac:dyDescent="0.3">
      <c r="A669">
        <v>10668</v>
      </c>
      <c r="B669" t="s">
        <v>94</v>
      </c>
      <c r="C669" t="s">
        <v>95</v>
      </c>
      <c r="D669" t="s">
        <v>30</v>
      </c>
      <c r="E669">
        <v>66</v>
      </c>
      <c r="F669" t="s">
        <v>54</v>
      </c>
      <c r="G669" t="s">
        <v>22</v>
      </c>
      <c r="H669" t="s">
        <v>23</v>
      </c>
      <c r="I669" t="s">
        <v>24</v>
      </c>
      <c r="J669">
        <v>15</v>
      </c>
      <c r="K669" s="1">
        <v>45880</v>
      </c>
      <c r="L669" s="1">
        <v>45884</v>
      </c>
      <c r="M669" t="s">
        <v>25</v>
      </c>
      <c r="N669" t="s">
        <v>51</v>
      </c>
      <c r="O669">
        <v>82133.570000000007</v>
      </c>
      <c r="P669">
        <v>64885.52</v>
      </c>
      <c r="Q669">
        <v>17248.05</v>
      </c>
      <c r="R669" t="s">
        <v>32</v>
      </c>
      <c r="S669">
        <f t="shared" si="30"/>
        <v>4</v>
      </c>
      <c r="T669" s="2">
        <f t="shared" si="31"/>
        <v>0.78999999634741302</v>
      </c>
      <c r="U669" s="2">
        <f t="shared" si="32"/>
        <v>0.21000000365258686</v>
      </c>
    </row>
    <row r="670" spans="1:21" x14ac:dyDescent="0.3">
      <c r="A670">
        <v>10669</v>
      </c>
      <c r="B670" t="s">
        <v>82</v>
      </c>
      <c r="C670" t="s">
        <v>83</v>
      </c>
      <c r="D670" t="s">
        <v>20</v>
      </c>
      <c r="E670">
        <v>74</v>
      </c>
      <c r="F670" t="s">
        <v>84</v>
      </c>
      <c r="G670" t="s">
        <v>36</v>
      </c>
      <c r="H670" t="s">
        <v>37</v>
      </c>
      <c r="I670" t="s">
        <v>24</v>
      </c>
      <c r="J670">
        <v>12</v>
      </c>
      <c r="K670" s="1">
        <v>46002</v>
      </c>
      <c r="L670" s="1">
        <v>46013</v>
      </c>
      <c r="M670" t="s">
        <v>66</v>
      </c>
      <c r="N670" t="s">
        <v>26</v>
      </c>
      <c r="O670">
        <v>62977.71</v>
      </c>
      <c r="P670">
        <v>51011.95</v>
      </c>
      <c r="Q670">
        <v>11965.76</v>
      </c>
      <c r="R670" t="s">
        <v>32</v>
      </c>
      <c r="S670">
        <f t="shared" si="30"/>
        <v>11</v>
      </c>
      <c r="T670" s="2">
        <f t="shared" si="31"/>
        <v>0.81000007780530603</v>
      </c>
      <c r="U670" s="2">
        <f t="shared" si="32"/>
        <v>0.18999992219469397</v>
      </c>
    </row>
    <row r="671" spans="1:21" x14ac:dyDescent="0.3">
      <c r="A671">
        <v>10670</v>
      </c>
      <c r="B671" t="s">
        <v>73</v>
      </c>
      <c r="C671" t="s">
        <v>74</v>
      </c>
      <c r="D671" t="s">
        <v>20</v>
      </c>
      <c r="E671">
        <v>53</v>
      </c>
      <c r="F671" t="s">
        <v>75</v>
      </c>
      <c r="G671" t="s">
        <v>47</v>
      </c>
      <c r="H671" t="s">
        <v>48</v>
      </c>
      <c r="I671" t="s">
        <v>49</v>
      </c>
      <c r="J671">
        <v>8</v>
      </c>
      <c r="K671" s="1">
        <v>45935</v>
      </c>
      <c r="L671" s="1">
        <v>45939</v>
      </c>
      <c r="M671" t="s">
        <v>50</v>
      </c>
      <c r="N671" t="s">
        <v>51</v>
      </c>
      <c r="O671">
        <v>327177.28999999998</v>
      </c>
      <c r="P671">
        <v>255198.29</v>
      </c>
      <c r="Q671">
        <v>71979</v>
      </c>
      <c r="R671" t="s">
        <v>27</v>
      </c>
      <c r="S671">
        <f t="shared" si="30"/>
        <v>4</v>
      </c>
      <c r="T671" s="2">
        <f t="shared" si="31"/>
        <v>0.78000001161449817</v>
      </c>
      <c r="U671" s="2">
        <f t="shared" si="32"/>
        <v>0.21999998838550194</v>
      </c>
    </row>
    <row r="672" spans="1:21" x14ac:dyDescent="0.3">
      <c r="A672">
        <v>10671</v>
      </c>
      <c r="B672" t="s">
        <v>67</v>
      </c>
      <c r="C672" t="s">
        <v>68</v>
      </c>
      <c r="D672" t="s">
        <v>20</v>
      </c>
      <c r="E672">
        <v>33</v>
      </c>
      <c r="F672" t="s">
        <v>69</v>
      </c>
      <c r="G672" t="s">
        <v>22</v>
      </c>
      <c r="H672" t="s">
        <v>23</v>
      </c>
      <c r="I672" t="s">
        <v>24</v>
      </c>
      <c r="J672">
        <v>15</v>
      </c>
      <c r="K672" s="1">
        <v>45879</v>
      </c>
      <c r="L672" s="1">
        <v>45890</v>
      </c>
      <c r="M672" t="s">
        <v>66</v>
      </c>
      <c r="N672" t="s">
        <v>51</v>
      </c>
      <c r="O672">
        <v>36710.620000000003</v>
      </c>
      <c r="P672">
        <v>26798.75</v>
      </c>
      <c r="Q672">
        <v>9911.8700000000008</v>
      </c>
      <c r="R672" t="s">
        <v>32</v>
      </c>
      <c r="S672">
        <f t="shared" si="30"/>
        <v>11</v>
      </c>
      <c r="T672" s="2">
        <f t="shared" si="31"/>
        <v>0.72999992917580792</v>
      </c>
      <c r="U672" s="2">
        <f t="shared" si="32"/>
        <v>0.27000007082419203</v>
      </c>
    </row>
    <row r="673" spans="1:21" x14ac:dyDescent="0.3">
      <c r="A673">
        <v>10672</v>
      </c>
      <c r="B673" t="s">
        <v>143</v>
      </c>
      <c r="C673" t="s">
        <v>74</v>
      </c>
      <c r="D673" t="s">
        <v>20</v>
      </c>
      <c r="E673">
        <v>35</v>
      </c>
      <c r="F673" t="s">
        <v>119</v>
      </c>
      <c r="G673" t="s">
        <v>88</v>
      </c>
      <c r="H673" t="s">
        <v>89</v>
      </c>
      <c r="I673" t="s">
        <v>62</v>
      </c>
      <c r="J673">
        <v>14</v>
      </c>
      <c r="K673" s="1">
        <v>45674</v>
      </c>
      <c r="L673" s="1">
        <v>45679</v>
      </c>
      <c r="M673" t="s">
        <v>77</v>
      </c>
      <c r="N673" t="s">
        <v>26</v>
      </c>
      <c r="O673">
        <v>71992.960000000006</v>
      </c>
      <c r="P673">
        <v>53274.79</v>
      </c>
      <c r="Q673">
        <v>18718.169999999998</v>
      </c>
      <c r="R673" t="s">
        <v>27</v>
      </c>
      <c r="S673">
        <f t="shared" si="30"/>
        <v>5</v>
      </c>
      <c r="T673" s="2">
        <f t="shared" si="31"/>
        <v>0.73999999444390108</v>
      </c>
      <c r="U673" s="2">
        <f t="shared" si="32"/>
        <v>0.26000000555609876</v>
      </c>
    </row>
    <row r="674" spans="1:21" x14ac:dyDescent="0.3">
      <c r="A674">
        <v>10673</v>
      </c>
      <c r="B674" t="s">
        <v>78</v>
      </c>
      <c r="C674" t="s">
        <v>79</v>
      </c>
      <c r="D674" t="s">
        <v>20</v>
      </c>
      <c r="E674">
        <v>67</v>
      </c>
      <c r="F674" t="s">
        <v>35</v>
      </c>
      <c r="G674" t="s">
        <v>60</v>
      </c>
      <c r="H674" t="s">
        <v>61</v>
      </c>
      <c r="I674" t="s">
        <v>62</v>
      </c>
      <c r="J674">
        <v>18</v>
      </c>
      <c r="K674" s="1">
        <v>45773</v>
      </c>
      <c r="L674" s="1">
        <v>45782</v>
      </c>
      <c r="M674" t="s">
        <v>77</v>
      </c>
      <c r="N674" t="s">
        <v>26</v>
      </c>
      <c r="O674">
        <v>31865.31</v>
      </c>
      <c r="P674">
        <v>24854.94</v>
      </c>
      <c r="Q674">
        <v>7010.37</v>
      </c>
      <c r="R674" t="s">
        <v>32</v>
      </c>
      <c r="S674">
        <f t="shared" si="30"/>
        <v>9</v>
      </c>
      <c r="T674" s="2">
        <f t="shared" si="31"/>
        <v>0.77999994351223945</v>
      </c>
      <c r="U674" s="2">
        <f t="shared" si="32"/>
        <v>0.2200000564877605</v>
      </c>
    </row>
    <row r="675" spans="1:21" x14ac:dyDescent="0.3">
      <c r="A675">
        <v>10674</v>
      </c>
      <c r="B675" t="s">
        <v>104</v>
      </c>
      <c r="C675" t="s">
        <v>105</v>
      </c>
      <c r="D675" t="s">
        <v>30</v>
      </c>
      <c r="E675">
        <v>68</v>
      </c>
      <c r="F675" t="s">
        <v>21</v>
      </c>
      <c r="G675" t="s">
        <v>55</v>
      </c>
      <c r="H675" t="s">
        <v>56</v>
      </c>
      <c r="I675" t="s">
        <v>49</v>
      </c>
      <c r="J675">
        <v>10</v>
      </c>
      <c r="K675" s="1">
        <v>45982</v>
      </c>
      <c r="L675" s="1">
        <v>45986</v>
      </c>
      <c r="M675" t="s">
        <v>85</v>
      </c>
      <c r="N675" t="s">
        <v>26</v>
      </c>
      <c r="O675">
        <v>122637.68</v>
      </c>
      <c r="P675">
        <v>88299.13</v>
      </c>
      <c r="Q675">
        <v>34338.550000000003</v>
      </c>
      <c r="R675" t="s">
        <v>27</v>
      </c>
      <c r="S675">
        <f t="shared" si="30"/>
        <v>4</v>
      </c>
      <c r="T675" s="2">
        <f t="shared" si="31"/>
        <v>0.72000000326164038</v>
      </c>
      <c r="U675" s="2">
        <f t="shared" si="32"/>
        <v>0.27999999673835974</v>
      </c>
    </row>
    <row r="676" spans="1:21" x14ac:dyDescent="0.3">
      <c r="A676">
        <v>10675</v>
      </c>
      <c r="B676" t="s">
        <v>144</v>
      </c>
      <c r="C676" t="s">
        <v>145</v>
      </c>
      <c r="D676" t="s">
        <v>30</v>
      </c>
      <c r="E676">
        <v>37</v>
      </c>
      <c r="F676" t="s">
        <v>40</v>
      </c>
      <c r="G676" t="s">
        <v>22</v>
      </c>
      <c r="H676" t="s">
        <v>23</v>
      </c>
      <c r="I676" t="s">
        <v>24</v>
      </c>
      <c r="J676">
        <v>15</v>
      </c>
      <c r="K676" s="1">
        <v>45743</v>
      </c>
      <c r="L676" s="1">
        <v>45753</v>
      </c>
      <c r="M676" t="s">
        <v>25</v>
      </c>
      <c r="N676" t="s">
        <v>26</v>
      </c>
      <c r="O676">
        <v>84416.04</v>
      </c>
      <c r="P676">
        <v>51493.78</v>
      </c>
      <c r="Q676">
        <v>32922.26</v>
      </c>
      <c r="R676" t="s">
        <v>32</v>
      </c>
      <c r="S676">
        <f t="shared" si="30"/>
        <v>10</v>
      </c>
      <c r="T676" s="2">
        <f t="shared" si="31"/>
        <v>0.60999994787720446</v>
      </c>
      <c r="U676" s="2">
        <f t="shared" si="32"/>
        <v>0.39000005212279565</v>
      </c>
    </row>
    <row r="677" spans="1:21" x14ac:dyDescent="0.3">
      <c r="A677">
        <v>10676</v>
      </c>
      <c r="B677" t="s">
        <v>121</v>
      </c>
      <c r="C677" t="s">
        <v>122</v>
      </c>
      <c r="D677" t="s">
        <v>20</v>
      </c>
      <c r="E677">
        <v>23</v>
      </c>
      <c r="F677" t="s">
        <v>59</v>
      </c>
      <c r="G677" t="s">
        <v>60</v>
      </c>
      <c r="H677" t="s">
        <v>61</v>
      </c>
      <c r="I677" t="s">
        <v>62</v>
      </c>
      <c r="J677">
        <v>18</v>
      </c>
      <c r="K677" s="1">
        <v>45918</v>
      </c>
      <c r="L677" s="1">
        <v>45926</v>
      </c>
      <c r="M677" t="s">
        <v>96</v>
      </c>
      <c r="N677" t="s">
        <v>51</v>
      </c>
      <c r="O677">
        <v>268544.73</v>
      </c>
      <c r="P677">
        <v>204093.99</v>
      </c>
      <c r="Q677">
        <v>64450.74</v>
      </c>
      <c r="R677" t="s">
        <v>32</v>
      </c>
      <c r="S677">
        <f t="shared" si="30"/>
        <v>8</v>
      </c>
      <c r="T677" s="2">
        <f t="shared" si="31"/>
        <v>0.75999998212588271</v>
      </c>
      <c r="U677" s="2">
        <f t="shared" si="32"/>
        <v>0.24000001787411729</v>
      </c>
    </row>
    <row r="678" spans="1:21" x14ac:dyDescent="0.3">
      <c r="A678">
        <v>10677</v>
      </c>
      <c r="B678" t="s">
        <v>120</v>
      </c>
      <c r="C678" t="s">
        <v>74</v>
      </c>
      <c r="D678" t="s">
        <v>20</v>
      </c>
      <c r="E678">
        <v>61</v>
      </c>
      <c r="F678" t="s">
        <v>69</v>
      </c>
      <c r="G678" t="s">
        <v>55</v>
      </c>
      <c r="H678" t="s">
        <v>56</v>
      </c>
      <c r="I678" t="s">
        <v>49</v>
      </c>
      <c r="J678">
        <v>10</v>
      </c>
      <c r="K678" s="1">
        <v>45713</v>
      </c>
      <c r="L678" s="1">
        <v>45716</v>
      </c>
      <c r="M678" t="s">
        <v>101</v>
      </c>
      <c r="N678" t="s">
        <v>26</v>
      </c>
      <c r="O678">
        <v>32611.279999999999</v>
      </c>
      <c r="P678">
        <v>21197.33</v>
      </c>
      <c r="Q678">
        <v>11413.95</v>
      </c>
      <c r="R678" t="s">
        <v>32</v>
      </c>
      <c r="S678">
        <f t="shared" si="30"/>
        <v>3</v>
      </c>
      <c r="T678" s="2">
        <f t="shared" si="31"/>
        <v>0.64999993867152728</v>
      </c>
      <c r="U678" s="2">
        <f t="shared" si="32"/>
        <v>0.35000006132847289</v>
      </c>
    </row>
    <row r="679" spans="1:21" x14ac:dyDescent="0.3">
      <c r="A679">
        <v>10678</v>
      </c>
      <c r="B679" t="s">
        <v>150</v>
      </c>
      <c r="C679" t="s">
        <v>151</v>
      </c>
      <c r="D679" t="s">
        <v>30</v>
      </c>
      <c r="E679">
        <v>47</v>
      </c>
      <c r="F679" t="s">
        <v>54</v>
      </c>
      <c r="G679" t="s">
        <v>55</v>
      </c>
      <c r="H679" t="s">
        <v>56</v>
      </c>
      <c r="I679" t="s">
        <v>49</v>
      </c>
      <c r="J679">
        <v>10</v>
      </c>
      <c r="K679" s="1">
        <v>45751</v>
      </c>
      <c r="L679" s="1">
        <v>45753</v>
      </c>
      <c r="M679" t="s">
        <v>101</v>
      </c>
      <c r="N679" t="s">
        <v>51</v>
      </c>
      <c r="O679">
        <v>30887.27</v>
      </c>
      <c r="P679">
        <v>25636.43</v>
      </c>
      <c r="Q679">
        <v>5250.84</v>
      </c>
      <c r="R679" t="s">
        <v>32</v>
      </c>
      <c r="S679">
        <f t="shared" si="30"/>
        <v>2</v>
      </c>
      <c r="T679" s="2">
        <f t="shared" si="31"/>
        <v>0.82999986725923014</v>
      </c>
      <c r="U679" s="2">
        <f t="shared" si="32"/>
        <v>0.17000013274076992</v>
      </c>
    </row>
    <row r="680" spans="1:21" x14ac:dyDescent="0.3">
      <c r="A680">
        <v>10679</v>
      </c>
      <c r="B680" t="s">
        <v>121</v>
      </c>
      <c r="C680" t="s">
        <v>122</v>
      </c>
      <c r="D680" t="s">
        <v>20</v>
      </c>
      <c r="E680">
        <v>23</v>
      </c>
      <c r="F680" t="s">
        <v>59</v>
      </c>
      <c r="G680" t="s">
        <v>88</v>
      </c>
      <c r="H680" t="s">
        <v>89</v>
      </c>
      <c r="I680" t="s">
        <v>62</v>
      </c>
      <c r="J680">
        <v>14</v>
      </c>
      <c r="K680" s="1">
        <v>45963</v>
      </c>
      <c r="L680" s="1">
        <v>45975</v>
      </c>
      <c r="M680" t="s">
        <v>63</v>
      </c>
      <c r="N680" t="s">
        <v>26</v>
      </c>
      <c r="O680">
        <v>19913.47</v>
      </c>
      <c r="P680">
        <v>14337.7</v>
      </c>
      <c r="Q680">
        <v>5575.77</v>
      </c>
      <c r="R680" t="s">
        <v>32</v>
      </c>
      <c r="S680">
        <f t="shared" si="30"/>
        <v>12</v>
      </c>
      <c r="T680" s="2">
        <f t="shared" si="31"/>
        <v>0.72000008034762397</v>
      </c>
      <c r="U680" s="2">
        <f t="shared" si="32"/>
        <v>0.27999991965237603</v>
      </c>
    </row>
    <row r="681" spans="1:21" x14ac:dyDescent="0.3">
      <c r="A681">
        <v>10680</v>
      </c>
      <c r="B681" t="s">
        <v>80</v>
      </c>
      <c r="C681" t="s">
        <v>81</v>
      </c>
      <c r="D681" t="s">
        <v>20</v>
      </c>
      <c r="E681">
        <v>65</v>
      </c>
      <c r="F681" t="s">
        <v>40</v>
      </c>
      <c r="G681" t="s">
        <v>22</v>
      </c>
      <c r="H681" t="s">
        <v>23</v>
      </c>
      <c r="I681" t="s">
        <v>24</v>
      </c>
      <c r="J681">
        <v>15</v>
      </c>
      <c r="K681" s="1">
        <v>45994</v>
      </c>
      <c r="L681" s="1">
        <v>45997</v>
      </c>
      <c r="M681" t="s">
        <v>66</v>
      </c>
      <c r="N681" t="s">
        <v>26</v>
      </c>
      <c r="O681">
        <v>72766.17</v>
      </c>
      <c r="P681">
        <v>53119.3</v>
      </c>
      <c r="Q681">
        <v>19646.87</v>
      </c>
      <c r="R681" t="s">
        <v>32</v>
      </c>
      <c r="S681">
        <f t="shared" si="30"/>
        <v>3</v>
      </c>
      <c r="T681" s="2">
        <f t="shared" si="31"/>
        <v>0.72999994365513543</v>
      </c>
      <c r="U681" s="2">
        <f t="shared" si="32"/>
        <v>0.27000005634486463</v>
      </c>
    </row>
    <row r="682" spans="1:21" x14ac:dyDescent="0.3">
      <c r="A682">
        <v>10681</v>
      </c>
      <c r="B682" t="s">
        <v>123</v>
      </c>
      <c r="C682" t="s">
        <v>124</v>
      </c>
      <c r="D682" t="s">
        <v>30</v>
      </c>
      <c r="E682">
        <v>65</v>
      </c>
      <c r="F682" t="s">
        <v>35</v>
      </c>
      <c r="G682" t="s">
        <v>36</v>
      </c>
      <c r="H682" t="s">
        <v>37</v>
      </c>
      <c r="I682" t="s">
        <v>24</v>
      </c>
      <c r="J682">
        <v>12</v>
      </c>
      <c r="K682" s="1">
        <v>45895</v>
      </c>
      <c r="L682" s="1">
        <v>45909</v>
      </c>
      <c r="M682" t="s">
        <v>66</v>
      </c>
      <c r="N682" t="s">
        <v>26</v>
      </c>
      <c r="O682">
        <v>35086.33</v>
      </c>
      <c r="P682">
        <v>27367.34</v>
      </c>
      <c r="Q682">
        <v>7718.99</v>
      </c>
      <c r="R682" t="s">
        <v>27</v>
      </c>
      <c r="S682">
        <f t="shared" si="30"/>
        <v>14</v>
      </c>
      <c r="T682" s="2">
        <f t="shared" si="31"/>
        <v>0.78000007410293404</v>
      </c>
      <c r="U682" s="2">
        <f t="shared" si="32"/>
        <v>0.21999992589706588</v>
      </c>
    </row>
    <row r="683" spans="1:21" x14ac:dyDescent="0.3">
      <c r="A683">
        <v>10682</v>
      </c>
      <c r="B683" t="s">
        <v>146</v>
      </c>
      <c r="C683" t="s">
        <v>147</v>
      </c>
      <c r="D683" t="s">
        <v>30</v>
      </c>
      <c r="E683">
        <v>75</v>
      </c>
      <c r="F683" t="s">
        <v>84</v>
      </c>
      <c r="G683" t="s">
        <v>36</v>
      </c>
      <c r="H683" t="s">
        <v>37</v>
      </c>
      <c r="I683" t="s">
        <v>24</v>
      </c>
      <c r="J683">
        <v>12</v>
      </c>
      <c r="K683" s="1">
        <v>45931</v>
      </c>
      <c r="L683" s="1">
        <v>45942</v>
      </c>
      <c r="M683" t="s">
        <v>66</v>
      </c>
      <c r="N683" t="s">
        <v>51</v>
      </c>
      <c r="O683">
        <v>62825.39</v>
      </c>
      <c r="P683">
        <v>52145.07</v>
      </c>
      <c r="Q683">
        <v>10680.32</v>
      </c>
      <c r="R683" t="s">
        <v>32</v>
      </c>
      <c r="S683">
        <f t="shared" si="30"/>
        <v>11</v>
      </c>
      <c r="T683" s="2">
        <f t="shared" si="31"/>
        <v>0.82999994110661313</v>
      </c>
      <c r="U683" s="2">
        <f t="shared" si="32"/>
        <v>0.1700000588933869</v>
      </c>
    </row>
    <row r="684" spans="1:21" x14ac:dyDescent="0.3">
      <c r="A684">
        <v>10683</v>
      </c>
      <c r="B684" t="s">
        <v>64</v>
      </c>
      <c r="C684" t="s">
        <v>65</v>
      </c>
      <c r="D684" t="s">
        <v>20</v>
      </c>
      <c r="E684">
        <v>27</v>
      </c>
      <c r="F684" t="s">
        <v>31</v>
      </c>
      <c r="G684" t="s">
        <v>60</v>
      </c>
      <c r="H684" t="s">
        <v>61</v>
      </c>
      <c r="I684" t="s">
        <v>62</v>
      </c>
      <c r="J684">
        <v>18</v>
      </c>
      <c r="K684" s="1">
        <v>45927</v>
      </c>
      <c r="L684" s="1">
        <v>45939</v>
      </c>
      <c r="M684" t="s">
        <v>77</v>
      </c>
      <c r="N684" t="s">
        <v>26</v>
      </c>
      <c r="O684">
        <v>69190.45</v>
      </c>
      <c r="P684">
        <v>44973.79</v>
      </c>
      <c r="Q684">
        <v>24216.66</v>
      </c>
      <c r="R684" t="s">
        <v>32</v>
      </c>
      <c r="S684">
        <f t="shared" si="30"/>
        <v>12</v>
      </c>
      <c r="T684" s="2">
        <f t="shared" si="31"/>
        <v>0.64999996386784598</v>
      </c>
      <c r="U684" s="2">
        <f t="shared" si="32"/>
        <v>0.35000003613215408</v>
      </c>
    </row>
    <row r="685" spans="1:21" x14ac:dyDescent="0.3">
      <c r="A685">
        <v>10684</v>
      </c>
      <c r="B685" t="s">
        <v>90</v>
      </c>
      <c r="C685" t="s">
        <v>91</v>
      </c>
      <c r="D685" t="s">
        <v>20</v>
      </c>
      <c r="E685">
        <v>48</v>
      </c>
      <c r="F685" t="s">
        <v>84</v>
      </c>
      <c r="G685" t="s">
        <v>41</v>
      </c>
      <c r="H685" t="s">
        <v>42</v>
      </c>
      <c r="I685" t="s">
        <v>43</v>
      </c>
      <c r="J685">
        <v>9</v>
      </c>
      <c r="K685" s="1">
        <v>45762</v>
      </c>
      <c r="L685" s="1">
        <v>45770</v>
      </c>
      <c r="M685" t="s">
        <v>44</v>
      </c>
      <c r="N685" t="s">
        <v>26</v>
      </c>
      <c r="O685">
        <v>30733.54</v>
      </c>
      <c r="P685">
        <v>22742.82</v>
      </c>
      <c r="Q685">
        <v>7990.72</v>
      </c>
      <c r="R685" t="s">
        <v>32</v>
      </c>
      <c r="S685">
        <f t="shared" si="30"/>
        <v>8</v>
      </c>
      <c r="T685" s="2">
        <f t="shared" si="31"/>
        <v>0.74000001301509688</v>
      </c>
      <c r="U685" s="2">
        <f t="shared" si="32"/>
        <v>0.25999998698490312</v>
      </c>
    </row>
    <row r="686" spans="1:21" x14ac:dyDescent="0.3">
      <c r="A686">
        <v>10685</v>
      </c>
      <c r="B686" t="s">
        <v>102</v>
      </c>
      <c r="C686" t="s">
        <v>103</v>
      </c>
      <c r="D686" t="s">
        <v>30</v>
      </c>
      <c r="E686">
        <v>59</v>
      </c>
      <c r="F686" t="s">
        <v>75</v>
      </c>
      <c r="G686" t="s">
        <v>41</v>
      </c>
      <c r="H686" t="s">
        <v>42</v>
      </c>
      <c r="I686" t="s">
        <v>43</v>
      </c>
      <c r="J686">
        <v>9</v>
      </c>
      <c r="K686" s="1">
        <v>45663</v>
      </c>
      <c r="L686" s="1">
        <v>45669</v>
      </c>
      <c r="M686" t="s">
        <v>112</v>
      </c>
      <c r="N686" t="s">
        <v>26</v>
      </c>
      <c r="O686">
        <v>39246.93</v>
      </c>
      <c r="P686">
        <v>23940.63</v>
      </c>
      <c r="Q686">
        <v>15306.3</v>
      </c>
      <c r="R686" t="s">
        <v>32</v>
      </c>
      <c r="S686">
        <f t="shared" si="30"/>
        <v>6</v>
      </c>
      <c r="T686" s="2">
        <f t="shared" si="31"/>
        <v>0.61000006879518986</v>
      </c>
      <c r="U686" s="2">
        <f t="shared" si="32"/>
        <v>0.38999993120481014</v>
      </c>
    </row>
    <row r="687" spans="1:21" x14ac:dyDescent="0.3">
      <c r="A687">
        <v>10686</v>
      </c>
      <c r="B687" t="s">
        <v>131</v>
      </c>
      <c r="C687" t="s">
        <v>132</v>
      </c>
      <c r="D687" t="s">
        <v>20</v>
      </c>
      <c r="E687">
        <v>68</v>
      </c>
      <c r="F687" t="s">
        <v>31</v>
      </c>
      <c r="G687" t="s">
        <v>70</v>
      </c>
      <c r="H687" t="s">
        <v>71</v>
      </c>
      <c r="I687" t="s">
        <v>43</v>
      </c>
      <c r="J687">
        <v>11</v>
      </c>
      <c r="K687" s="1">
        <v>45713</v>
      </c>
      <c r="L687" s="1">
        <v>45722</v>
      </c>
      <c r="M687" t="s">
        <v>44</v>
      </c>
      <c r="N687" t="s">
        <v>26</v>
      </c>
      <c r="O687">
        <v>26199.54</v>
      </c>
      <c r="P687">
        <v>17815.689999999999</v>
      </c>
      <c r="Q687">
        <v>8383.85</v>
      </c>
      <c r="R687" t="s">
        <v>32</v>
      </c>
      <c r="S687">
        <f t="shared" si="30"/>
        <v>9</v>
      </c>
      <c r="T687" s="2">
        <f t="shared" si="31"/>
        <v>0.68000010687210533</v>
      </c>
      <c r="U687" s="2">
        <f t="shared" si="32"/>
        <v>0.31999989312789462</v>
      </c>
    </row>
    <row r="688" spans="1:21" x14ac:dyDescent="0.3">
      <c r="A688">
        <v>10687</v>
      </c>
      <c r="B688" t="s">
        <v>102</v>
      </c>
      <c r="C688" t="s">
        <v>103</v>
      </c>
      <c r="D688" t="s">
        <v>30</v>
      </c>
      <c r="E688">
        <v>59</v>
      </c>
      <c r="F688" t="s">
        <v>75</v>
      </c>
      <c r="G688" t="s">
        <v>36</v>
      </c>
      <c r="H688" t="s">
        <v>37</v>
      </c>
      <c r="I688" t="s">
        <v>24</v>
      </c>
      <c r="J688">
        <v>12</v>
      </c>
      <c r="K688" s="1">
        <v>45750</v>
      </c>
      <c r="L688" s="1">
        <v>45761</v>
      </c>
      <c r="M688" t="s">
        <v>66</v>
      </c>
      <c r="N688" t="s">
        <v>51</v>
      </c>
      <c r="O688">
        <v>57911.67</v>
      </c>
      <c r="P688">
        <v>35326.120000000003</v>
      </c>
      <c r="Q688">
        <v>22585.55</v>
      </c>
      <c r="R688" t="s">
        <v>32</v>
      </c>
      <c r="S688">
        <f t="shared" si="30"/>
        <v>11</v>
      </c>
      <c r="T688" s="2">
        <f t="shared" si="31"/>
        <v>0.61000002244797991</v>
      </c>
      <c r="U688" s="2">
        <f t="shared" si="32"/>
        <v>0.38999997755202015</v>
      </c>
    </row>
    <row r="689" spans="1:21" x14ac:dyDescent="0.3">
      <c r="A689">
        <v>10688</v>
      </c>
      <c r="B689" t="s">
        <v>127</v>
      </c>
      <c r="C689" t="s">
        <v>128</v>
      </c>
      <c r="D689" t="s">
        <v>20</v>
      </c>
      <c r="E689">
        <v>41</v>
      </c>
      <c r="F689" t="s">
        <v>54</v>
      </c>
      <c r="G689" t="s">
        <v>36</v>
      </c>
      <c r="H689" t="s">
        <v>37</v>
      </c>
      <c r="I689" t="s">
        <v>24</v>
      </c>
      <c r="J689">
        <v>12</v>
      </c>
      <c r="K689" s="1">
        <v>46006</v>
      </c>
      <c r="L689" s="1">
        <v>46008</v>
      </c>
      <c r="M689" t="s">
        <v>76</v>
      </c>
      <c r="N689" t="s">
        <v>51</v>
      </c>
      <c r="O689">
        <v>376068.1</v>
      </c>
      <c r="P689">
        <v>293333.12</v>
      </c>
      <c r="Q689">
        <v>82734.98</v>
      </c>
      <c r="R689" t="s">
        <v>27</v>
      </c>
      <c r="S689">
        <f t="shared" si="30"/>
        <v>2</v>
      </c>
      <c r="T689" s="2">
        <f t="shared" si="31"/>
        <v>0.78000000531818581</v>
      </c>
      <c r="U689" s="2">
        <f t="shared" si="32"/>
        <v>0.21999999468181428</v>
      </c>
    </row>
    <row r="690" spans="1:21" x14ac:dyDescent="0.3">
      <c r="A690">
        <v>10689</v>
      </c>
      <c r="B690" t="s">
        <v>135</v>
      </c>
      <c r="C690" t="s">
        <v>136</v>
      </c>
      <c r="D690" t="s">
        <v>30</v>
      </c>
      <c r="E690">
        <v>52</v>
      </c>
      <c r="F690" t="s">
        <v>35</v>
      </c>
      <c r="G690" t="s">
        <v>36</v>
      </c>
      <c r="H690" t="s">
        <v>37</v>
      </c>
      <c r="I690" t="s">
        <v>24</v>
      </c>
      <c r="J690">
        <v>12</v>
      </c>
      <c r="K690" s="1">
        <v>45884</v>
      </c>
      <c r="L690" s="1">
        <v>45892</v>
      </c>
      <c r="M690" t="s">
        <v>25</v>
      </c>
      <c r="N690" t="s">
        <v>26</v>
      </c>
      <c r="O690">
        <v>219654.97</v>
      </c>
      <c r="P690">
        <v>158151.57999999999</v>
      </c>
      <c r="Q690">
        <v>61503.39</v>
      </c>
      <c r="R690" t="s">
        <v>32</v>
      </c>
      <c r="S690">
        <f t="shared" si="30"/>
        <v>8</v>
      </c>
      <c r="T690" s="2">
        <f t="shared" si="31"/>
        <v>0.72000000728415103</v>
      </c>
      <c r="U690" s="2">
        <f t="shared" si="32"/>
        <v>0.27999999271584886</v>
      </c>
    </row>
    <row r="691" spans="1:21" x14ac:dyDescent="0.3">
      <c r="A691">
        <v>10690</v>
      </c>
      <c r="B691" t="s">
        <v>117</v>
      </c>
      <c r="C691" t="s">
        <v>118</v>
      </c>
      <c r="D691" t="s">
        <v>20</v>
      </c>
      <c r="E691">
        <v>65</v>
      </c>
      <c r="F691" t="s">
        <v>119</v>
      </c>
      <c r="G691" t="s">
        <v>70</v>
      </c>
      <c r="H691" t="s">
        <v>71</v>
      </c>
      <c r="I691" t="s">
        <v>43</v>
      </c>
      <c r="J691">
        <v>11</v>
      </c>
      <c r="K691" s="1">
        <v>45935</v>
      </c>
      <c r="L691" s="1">
        <v>45937</v>
      </c>
      <c r="M691" t="s">
        <v>44</v>
      </c>
      <c r="N691" t="s">
        <v>26</v>
      </c>
      <c r="O691">
        <v>29767.02</v>
      </c>
      <c r="P691">
        <v>19646.23</v>
      </c>
      <c r="Q691">
        <v>10120.790000000001</v>
      </c>
      <c r="R691" t="s">
        <v>27</v>
      </c>
      <c r="S691">
        <f t="shared" si="30"/>
        <v>2</v>
      </c>
      <c r="T691" s="2">
        <f t="shared" si="31"/>
        <v>0.65999989249847646</v>
      </c>
      <c r="U691" s="2">
        <f t="shared" si="32"/>
        <v>0.34000010750152354</v>
      </c>
    </row>
    <row r="692" spans="1:21" x14ac:dyDescent="0.3">
      <c r="A692">
        <v>10691</v>
      </c>
      <c r="B692" t="s">
        <v>150</v>
      </c>
      <c r="C692" t="s">
        <v>151</v>
      </c>
      <c r="D692" t="s">
        <v>30</v>
      </c>
      <c r="E692">
        <v>47</v>
      </c>
      <c r="F692" t="s">
        <v>54</v>
      </c>
      <c r="G692" t="s">
        <v>60</v>
      </c>
      <c r="H692" t="s">
        <v>61</v>
      </c>
      <c r="I692" t="s">
        <v>62</v>
      </c>
      <c r="J692">
        <v>18</v>
      </c>
      <c r="K692" s="1">
        <v>45758</v>
      </c>
      <c r="L692" s="1">
        <v>45764</v>
      </c>
      <c r="M692" t="s">
        <v>96</v>
      </c>
      <c r="N692" t="s">
        <v>26</v>
      </c>
      <c r="O692">
        <v>287666.08</v>
      </c>
      <c r="P692">
        <v>192736.27</v>
      </c>
      <c r="Q692">
        <v>94929.81</v>
      </c>
      <c r="R692" t="s">
        <v>32</v>
      </c>
      <c r="S692">
        <f t="shared" si="30"/>
        <v>6</v>
      </c>
      <c r="T692" s="2">
        <f t="shared" si="31"/>
        <v>0.66999998748549006</v>
      </c>
      <c r="U692" s="2">
        <f t="shared" si="32"/>
        <v>0.33000001251450983</v>
      </c>
    </row>
    <row r="693" spans="1:21" x14ac:dyDescent="0.3">
      <c r="A693">
        <v>10692</v>
      </c>
      <c r="B693" t="s">
        <v>125</v>
      </c>
      <c r="C693" t="s">
        <v>126</v>
      </c>
      <c r="D693" t="s">
        <v>30</v>
      </c>
      <c r="E693">
        <v>73</v>
      </c>
      <c r="F693" t="s">
        <v>21</v>
      </c>
      <c r="G693" t="s">
        <v>88</v>
      </c>
      <c r="H693" t="s">
        <v>89</v>
      </c>
      <c r="I693" t="s">
        <v>62</v>
      </c>
      <c r="J693">
        <v>14</v>
      </c>
      <c r="K693" s="1">
        <v>45733</v>
      </c>
      <c r="L693" s="1">
        <v>45738</v>
      </c>
      <c r="M693" t="s">
        <v>63</v>
      </c>
      <c r="N693" t="s">
        <v>26</v>
      </c>
      <c r="O693">
        <v>38296.99</v>
      </c>
      <c r="P693">
        <v>31020.560000000001</v>
      </c>
      <c r="Q693">
        <v>7276.43</v>
      </c>
      <c r="R693" t="s">
        <v>32</v>
      </c>
      <c r="S693">
        <f t="shared" si="30"/>
        <v>5</v>
      </c>
      <c r="T693" s="2">
        <f t="shared" si="31"/>
        <v>0.80999995038774597</v>
      </c>
      <c r="U693" s="2">
        <f t="shared" si="32"/>
        <v>0.19000004961225414</v>
      </c>
    </row>
    <row r="694" spans="1:21" x14ac:dyDescent="0.3">
      <c r="A694">
        <v>10693</v>
      </c>
      <c r="B694" t="s">
        <v>113</v>
      </c>
      <c r="C694" t="s">
        <v>114</v>
      </c>
      <c r="D694" t="s">
        <v>30</v>
      </c>
      <c r="E694">
        <v>33</v>
      </c>
      <c r="F694" t="s">
        <v>59</v>
      </c>
      <c r="G694" t="s">
        <v>41</v>
      </c>
      <c r="H694" t="s">
        <v>42</v>
      </c>
      <c r="I694" t="s">
        <v>43</v>
      </c>
      <c r="J694">
        <v>9</v>
      </c>
      <c r="K694" s="1">
        <v>45815</v>
      </c>
      <c r="L694" s="1">
        <v>45819</v>
      </c>
      <c r="M694" t="s">
        <v>44</v>
      </c>
      <c r="N694" t="s">
        <v>51</v>
      </c>
      <c r="O694">
        <v>31196.99</v>
      </c>
      <c r="P694">
        <v>24957.59</v>
      </c>
      <c r="Q694">
        <v>6239.4</v>
      </c>
      <c r="R694" t="s">
        <v>32</v>
      </c>
      <c r="S694">
        <f t="shared" si="30"/>
        <v>4</v>
      </c>
      <c r="T694" s="2">
        <f t="shared" si="31"/>
        <v>0.79999993589125096</v>
      </c>
      <c r="U694" s="2">
        <f t="shared" si="32"/>
        <v>0.20000006410874893</v>
      </c>
    </row>
    <row r="695" spans="1:21" x14ac:dyDescent="0.3">
      <c r="A695">
        <v>10694</v>
      </c>
      <c r="B695" t="s">
        <v>108</v>
      </c>
      <c r="C695" t="s">
        <v>109</v>
      </c>
      <c r="D695" t="s">
        <v>20</v>
      </c>
      <c r="E695">
        <v>34</v>
      </c>
      <c r="F695" t="s">
        <v>40</v>
      </c>
      <c r="G695" t="s">
        <v>22</v>
      </c>
      <c r="H695" t="s">
        <v>23</v>
      </c>
      <c r="I695" t="s">
        <v>24</v>
      </c>
      <c r="J695">
        <v>15</v>
      </c>
      <c r="K695" s="1">
        <v>46001</v>
      </c>
      <c r="L695" s="1">
        <v>46007</v>
      </c>
      <c r="M695" t="s">
        <v>76</v>
      </c>
      <c r="N695" t="s">
        <v>26</v>
      </c>
      <c r="O695">
        <v>252005.45</v>
      </c>
      <c r="P695">
        <v>168843.65</v>
      </c>
      <c r="Q695">
        <v>83161.8</v>
      </c>
      <c r="R695" t="s">
        <v>32</v>
      </c>
      <c r="S695">
        <f t="shared" si="30"/>
        <v>6</v>
      </c>
      <c r="T695" s="2">
        <f t="shared" si="31"/>
        <v>0.66999999404774768</v>
      </c>
      <c r="U695" s="2">
        <f t="shared" si="32"/>
        <v>0.33000000595225221</v>
      </c>
    </row>
    <row r="696" spans="1:21" x14ac:dyDescent="0.3">
      <c r="A696">
        <v>10695</v>
      </c>
      <c r="B696" t="s">
        <v>131</v>
      </c>
      <c r="C696" t="s">
        <v>132</v>
      </c>
      <c r="D696" t="s">
        <v>20</v>
      </c>
      <c r="E696">
        <v>68</v>
      </c>
      <c r="F696" t="s">
        <v>31</v>
      </c>
      <c r="G696" t="s">
        <v>88</v>
      </c>
      <c r="H696" t="s">
        <v>89</v>
      </c>
      <c r="I696" t="s">
        <v>62</v>
      </c>
      <c r="J696">
        <v>14</v>
      </c>
      <c r="K696" s="1">
        <v>45831</v>
      </c>
      <c r="L696" s="1">
        <v>45833</v>
      </c>
      <c r="M696" t="s">
        <v>63</v>
      </c>
      <c r="N696" t="s">
        <v>26</v>
      </c>
      <c r="O696">
        <v>43033.46</v>
      </c>
      <c r="P696">
        <v>33996.43</v>
      </c>
      <c r="Q696">
        <v>9037.0300000000007</v>
      </c>
      <c r="R696" t="s">
        <v>32</v>
      </c>
      <c r="S696">
        <f t="shared" si="30"/>
        <v>2</v>
      </c>
      <c r="T696" s="2">
        <f t="shared" si="31"/>
        <v>0.78999992099171201</v>
      </c>
      <c r="U696" s="2">
        <f t="shared" si="32"/>
        <v>0.21000007900828799</v>
      </c>
    </row>
    <row r="697" spans="1:21" x14ac:dyDescent="0.3">
      <c r="A697">
        <v>10696</v>
      </c>
      <c r="B697" t="s">
        <v>67</v>
      </c>
      <c r="C697" t="s">
        <v>68</v>
      </c>
      <c r="D697" t="s">
        <v>20</v>
      </c>
      <c r="E697">
        <v>33</v>
      </c>
      <c r="F697" t="s">
        <v>69</v>
      </c>
      <c r="G697" t="s">
        <v>55</v>
      </c>
      <c r="H697" t="s">
        <v>56</v>
      </c>
      <c r="I697" t="s">
        <v>49</v>
      </c>
      <c r="J697">
        <v>10</v>
      </c>
      <c r="K697" s="1">
        <v>45756</v>
      </c>
      <c r="L697" s="1">
        <v>45769</v>
      </c>
      <c r="M697" t="s">
        <v>101</v>
      </c>
      <c r="N697" t="s">
        <v>26</v>
      </c>
      <c r="O697">
        <v>26226.3</v>
      </c>
      <c r="P697">
        <v>17047.099999999999</v>
      </c>
      <c r="Q697">
        <v>9179.2000000000007</v>
      </c>
      <c r="R697" t="s">
        <v>32</v>
      </c>
      <c r="S697">
        <f t="shared" si="30"/>
        <v>13</v>
      </c>
      <c r="T697" s="2">
        <f t="shared" si="31"/>
        <v>0.6500001906483186</v>
      </c>
      <c r="U697" s="2">
        <f t="shared" si="32"/>
        <v>0.34999980935168135</v>
      </c>
    </row>
    <row r="698" spans="1:21" x14ac:dyDescent="0.3">
      <c r="A698">
        <v>10697</v>
      </c>
      <c r="B698" t="s">
        <v>106</v>
      </c>
      <c r="C698" t="s">
        <v>107</v>
      </c>
      <c r="D698" t="s">
        <v>30</v>
      </c>
      <c r="E698">
        <v>37</v>
      </c>
      <c r="F698" t="s">
        <v>31</v>
      </c>
      <c r="G698" t="s">
        <v>47</v>
      </c>
      <c r="H698" t="s">
        <v>48</v>
      </c>
      <c r="I698" t="s">
        <v>49</v>
      </c>
      <c r="J698">
        <v>8</v>
      </c>
      <c r="K698" s="1">
        <v>45849</v>
      </c>
      <c r="L698" s="1">
        <v>45863</v>
      </c>
      <c r="M698" t="s">
        <v>50</v>
      </c>
      <c r="N698" t="s">
        <v>26</v>
      </c>
      <c r="O698">
        <v>207401.52</v>
      </c>
      <c r="P698">
        <v>141033.03</v>
      </c>
      <c r="Q698">
        <v>66368.490000000005</v>
      </c>
      <c r="R698" t="s">
        <v>32</v>
      </c>
      <c r="S698">
        <f t="shared" si="30"/>
        <v>14</v>
      </c>
      <c r="T698" s="2">
        <f t="shared" si="31"/>
        <v>0.6799999826423645</v>
      </c>
      <c r="U698" s="2">
        <f t="shared" si="32"/>
        <v>0.32000001735763561</v>
      </c>
    </row>
    <row r="699" spans="1:21" x14ac:dyDescent="0.3">
      <c r="A699">
        <v>10698</v>
      </c>
      <c r="B699" t="s">
        <v>148</v>
      </c>
      <c r="C699" t="s">
        <v>149</v>
      </c>
      <c r="D699" t="s">
        <v>30</v>
      </c>
      <c r="E699">
        <v>19</v>
      </c>
      <c r="F699" t="s">
        <v>21</v>
      </c>
      <c r="G699" t="s">
        <v>47</v>
      </c>
      <c r="H699" t="s">
        <v>48</v>
      </c>
      <c r="I699" t="s">
        <v>49</v>
      </c>
      <c r="J699">
        <v>8</v>
      </c>
      <c r="K699" s="1">
        <v>45982</v>
      </c>
      <c r="L699" s="1">
        <v>45990</v>
      </c>
      <c r="M699" t="s">
        <v>50</v>
      </c>
      <c r="N699" t="s">
        <v>26</v>
      </c>
      <c r="O699">
        <v>186512.34</v>
      </c>
      <c r="P699">
        <v>143614.5</v>
      </c>
      <c r="Q699">
        <v>42897.84</v>
      </c>
      <c r="R699" t="s">
        <v>32</v>
      </c>
      <c r="S699">
        <f t="shared" si="30"/>
        <v>8</v>
      </c>
      <c r="T699" s="2">
        <f t="shared" si="31"/>
        <v>0.769999990349164</v>
      </c>
      <c r="U699" s="2">
        <f t="shared" si="32"/>
        <v>0.23000000965083595</v>
      </c>
    </row>
    <row r="700" spans="1:21" x14ac:dyDescent="0.3">
      <c r="A700">
        <v>10699</v>
      </c>
      <c r="B700" t="s">
        <v>38</v>
      </c>
      <c r="C700" t="s">
        <v>39</v>
      </c>
      <c r="D700" t="s">
        <v>30</v>
      </c>
      <c r="E700">
        <v>62</v>
      </c>
      <c r="F700" t="s">
        <v>40</v>
      </c>
      <c r="G700" t="s">
        <v>88</v>
      </c>
      <c r="H700" t="s">
        <v>89</v>
      </c>
      <c r="I700" t="s">
        <v>62</v>
      </c>
      <c r="J700">
        <v>14</v>
      </c>
      <c r="K700" s="1">
        <v>45746</v>
      </c>
      <c r="L700" s="1">
        <v>45749</v>
      </c>
      <c r="M700" t="s">
        <v>77</v>
      </c>
      <c r="N700" t="s">
        <v>51</v>
      </c>
      <c r="O700">
        <v>69361.100000000006</v>
      </c>
      <c r="P700">
        <v>45778.33</v>
      </c>
      <c r="Q700">
        <v>23582.77</v>
      </c>
      <c r="R700" t="s">
        <v>27</v>
      </c>
      <c r="S700">
        <f t="shared" si="30"/>
        <v>3</v>
      </c>
      <c r="T700" s="2">
        <f t="shared" si="31"/>
        <v>0.66000005766921221</v>
      </c>
      <c r="U700" s="2">
        <f t="shared" si="32"/>
        <v>0.33999994233078767</v>
      </c>
    </row>
    <row r="701" spans="1:21" x14ac:dyDescent="0.3">
      <c r="A701">
        <v>10700</v>
      </c>
      <c r="B701" t="s">
        <v>57</v>
      </c>
      <c r="C701" t="s">
        <v>58</v>
      </c>
      <c r="D701" t="s">
        <v>20</v>
      </c>
      <c r="E701">
        <v>45</v>
      </c>
      <c r="F701" t="s">
        <v>59</v>
      </c>
      <c r="G701" t="s">
        <v>60</v>
      </c>
      <c r="H701" t="s">
        <v>61</v>
      </c>
      <c r="I701" t="s">
        <v>62</v>
      </c>
      <c r="J701">
        <v>18</v>
      </c>
      <c r="K701" s="1">
        <v>45806</v>
      </c>
      <c r="L701" s="1">
        <v>45810</v>
      </c>
      <c r="M701" t="s">
        <v>63</v>
      </c>
      <c r="N701" t="s">
        <v>26</v>
      </c>
      <c r="O701">
        <v>18156.62</v>
      </c>
      <c r="P701">
        <v>12346.5</v>
      </c>
      <c r="Q701">
        <v>5810.12</v>
      </c>
      <c r="R701" t="s">
        <v>32</v>
      </c>
      <c r="S701">
        <f t="shared" si="30"/>
        <v>4</v>
      </c>
      <c r="T701" s="2">
        <f t="shared" si="31"/>
        <v>0.67999991187787157</v>
      </c>
      <c r="U701" s="2">
        <f t="shared" si="32"/>
        <v>0.32000008812212849</v>
      </c>
    </row>
    <row r="702" spans="1:21" x14ac:dyDescent="0.3">
      <c r="A702">
        <v>10701</v>
      </c>
      <c r="B702" t="s">
        <v>146</v>
      </c>
      <c r="C702" t="s">
        <v>147</v>
      </c>
      <c r="D702" t="s">
        <v>30</v>
      </c>
      <c r="E702">
        <v>75</v>
      </c>
      <c r="F702" t="s">
        <v>84</v>
      </c>
      <c r="G702" t="s">
        <v>70</v>
      </c>
      <c r="H702" t="s">
        <v>71</v>
      </c>
      <c r="I702" t="s">
        <v>43</v>
      </c>
      <c r="J702">
        <v>11</v>
      </c>
      <c r="K702" s="1">
        <v>45846</v>
      </c>
      <c r="L702" s="1">
        <v>45856</v>
      </c>
      <c r="M702" t="s">
        <v>112</v>
      </c>
      <c r="N702" t="s">
        <v>26</v>
      </c>
      <c r="O702">
        <v>42326.09</v>
      </c>
      <c r="P702">
        <v>26665.439999999999</v>
      </c>
      <c r="Q702">
        <v>15660.65</v>
      </c>
      <c r="R702" t="s">
        <v>27</v>
      </c>
      <c r="S702">
        <f t="shared" si="30"/>
        <v>10</v>
      </c>
      <c r="T702" s="2">
        <f t="shared" si="31"/>
        <v>0.63000007796609614</v>
      </c>
      <c r="U702" s="2">
        <f t="shared" si="32"/>
        <v>0.36999992203390392</v>
      </c>
    </row>
    <row r="703" spans="1:21" x14ac:dyDescent="0.3">
      <c r="A703">
        <v>10702</v>
      </c>
      <c r="B703" t="s">
        <v>28</v>
      </c>
      <c r="C703" t="s">
        <v>29</v>
      </c>
      <c r="D703" t="s">
        <v>30</v>
      </c>
      <c r="E703">
        <v>60</v>
      </c>
      <c r="F703" t="s">
        <v>31</v>
      </c>
      <c r="G703" t="s">
        <v>70</v>
      </c>
      <c r="H703" t="s">
        <v>71</v>
      </c>
      <c r="I703" t="s">
        <v>43</v>
      </c>
      <c r="J703">
        <v>11</v>
      </c>
      <c r="K703" s="1">
        <v>45852</v>
      </c>
      <c r="L703" s="1">
        <v>45854</v>
      </c>
      <c r="M703" t="s">
        <v>44</v>
      </c>
      <c r="N703" t="s">
        <v>26</v>
      </c>
      <c r="O703">
        <v>15538.85</v>
      </c>
      <c r="P703">
        <v>12431.08</v>
      </c>
      <c r="Q703">
        <v>3107.77</v>
      </c>
      <c r="R703" t="s">
        <v>27</v>
      </c>
      <c r="S703">
        <f t="shared" si="30"/>
        <v>2</v>
      </c>
      <c r="T703" s="2">
        <f t="shared" si="31"/>
        <v>0.79999999999999993</v>
      </c>
      <c r="U703" s="2">
        <f t="shared" si="32"/>
        <v>0.19999999999999998</v>
      </c>
    </row>
    <row r="704" spans="1:21" x14ac:dyDescent="0.3">
      <c r="A704">
        <v>10703</v>
      </c>
      <c r="B704" t="s">
        <v>125</v>
      </c>
      <c r="C704" t="s">
        <v>126</v>
      </c>
      <c r="D704" t="s">
        <v>30</v>
      </c>
      <c r="E704">
        <v>73</v>
      </c>
      <c r="F704" t="s">
        <v>21</v>
      </c>
      <c r="G704" t="s">
        <v>88</v>
      </c>
      <c r="H704" t="s">
        <v>89</v>
      </c>
      <c r="I704" t="s">
        <v>62</v>
      </c>
      <c r="J704">
        <v>14</v>
      </c>
      <c r="K704" s="1">
        <v>45835</v>
      </c>
      <c r="L704" s="1">
        <v>45842</v>
      </c>
      <c r="M704" t="s">
        <v>63</v>
      </c>
      <c r="N704" t="s">
        <v>26</v>
      </c>
      <c r="O704">
        <v>18221.98</v>
      </c>
      <c r="P704">
        <v>12937.61</v>
      </c>
      <c r="Q704">
        <v>5284.37</v>
      </c>
      <c r="R704" t="s">
        <v>32</v>
      </c>
      <c r="S704">
        <f t="shared" si="30"/>
        <v>7</v>
      </c>
      <c r="T704" s="2">
        <f t="shared" si="31"/>
        <v>0.7100002304908688</v>
      </c>
      <c r="U704" s="2">
        <f t="shared" si="32"/>
        <v>0.28999976950913126</v>
      </c>
    </row>
    <row r="705" spans="1:21" x14ac:dyDescent="0.3">
      <c r="A705">
        <v>10704</v>
      </c>
      <c r="B705" t="s">
        <v>78</v>
      </c>
      <c r="C705" t="s">
        <v>79</v>
      </c>
      <c r="D705" t="s">
        <v>20</v>
      </c>
      <c r="E705">
        <v>67</v>
      </c>
      <c r="F705" t="s">
        <v>35</v>
      </c>
      <c r="G705" t="s">
        <v>22</v>
      </c>
      <c r="H705" t="s">
        <v>23</v>
      </c>
      <c r="I705" t="s">
        <v>24</v>
      </c>
      <c r="J705">
        <v>15</v>
      </c>
      <c r="K705" s="1">
        <v>45859</v>
      </c>
      <c r="L705" s="1">
        <v>45870</v>
      </c>
      <c r="M705" t="s">
        <v>76</v>
      </c>
      <c r="N705" t="s">
        <v>51</v>
      </c>
      <c r="O705">
        <v>316423.07</v>
      </c>
      <c r="P705">
        <v>265795.38</v>
      </c>
      <c r="Q705">
        <v>50627.69</v>
      </c>
      <c r="R705" t="s">
        <v>32</v>
      </c>
      <c r="S705">
        <f t="shared" si="30"/>
        <v>11</v>
      </c>
      <c r="T705" s="2">
        <f t="shared" si="31"/>
        <v>0.84000000379239104</v>
      </c>
      <c r="U705" s="2">
        <f t="shared" si="32"/>
        <v>0.15999999620760902</v>
      </c>
    </row>
    <row r="706" spans="1:21" x14ac:dyDescent="0.3">
      <c r="A706">
        <v>10705</v>
      </c>
      <c r="B706" t="s">
        <v>144</v>
      </c>
      <c r="C706" t="s">
        <v>145</v>
      </c>
      <c r="D706" t="s">
        <v>30</v>
      </c>
      <c r="E706">
        <v>37</v>
      </c>
      <c r="F706" t="s">
        <v>40</v>
      </c>
      <c r="G706" t="s">
        <v>60</v>
      </c>
      <c r="H706" t="s">
        <v>61</v>
      </c>
      <c r="I706" t="s">
        <v>62</v>
      </c>
      <c r="J706">
        <v>18</v>
      </c>
      <c r="K706" s="1">
        <v>45951</v>
      </c>
      <c r="L706" s="1">
        <v>45958</v>
      </c>
      <c r="M706" t="s">
        <v>96</v>
      </c>
      <c r="N706" t="s">
        <v>26</v>
      </c>
      <c r="O706">
        <v>92689.36</v>
      </c>
      <c r="P706">
        <v>63955.66</v>
      </c>
      <c r="Q706">
        <v>28733.7</v>
      </c>
      <c r="R706" t="s">
        <v>32</v>
      </c>
      <c r="S706">
        <f t="shared" si="30"/>
        <v>7</v>
      </c>
      <c r="T706" s="2">
        <f t="shared" si="31"/>
        <v>0.69000001726195981</v>
      </c>
      <c r="U706" s="2">
        <f t="shared" si="32"/>
        <v>0.30999998273804025</v>
      </c>
    </row>
    <row r="707" spans="1:21" x14ac:dyDescent="0.3">
      <c r="A707">
        <v>10706</v>
      </c>
      <c r="B707" t="s">
        <v>131</v>
      </c>
      <c r="C707" t="s">
        <v>132</v>
      </c>
      <c r="D707" t="s">
        <v>20</v>
      </c>
      <c r="E707">
        <v>68</v>
      </c>
      <c r="F707" t="s">
        <v>31</v>
      </c>
      <c r="G707" t="s">
        <v>22</v>
      </c>
      <c r="H707" t="s">
        <v>23</v>
      </c>
      <c r="I707" t="s">
        <v>24</v>
      </c>
      <c r="J707">
        <v>15</v>
      </c>
      <c r="K707" s="1">
        <v>45852</v>
      </c>
      <c r="L707" s="1">
        <v>45859</v>
      </c>
      <c r="M707" t="s">
        <v>76</v>
      </c>
      <c r="N707" t="s">
        <v>51</v>
      </c>
      <c r="O707">
        <v>248307.49</v>
      </c>
      <c r="P707">
        <v>196162.92</v>
      </c>
      <c r="Q707">
        <v>52144.57</v>
      </c>
      <c r="R707" t="s">
        <v>27</v>
      </c>
      <c r="S707">
        <f t="shared" ref="S707:S770" si="33">L707-K707</f>
        <v>7</v>
      </c>
      <c r="T707" s="2">
        <f t="shared" ref="T707:T770" si="34">P707/O707</f>
        <v>0.79000001167906786</v>
      </c>
      <c r="U707" s="2">
        <f t="shared" ref="U707:U770" si="35">Q707/O707</f>
        <v>0.20999998832093225</v>
      </c>
    </row>
    <row r="708" spans="1:21" x14ac:dyDescent="0.3">
      <c r="A708">
        <v>10707</v>
      </c>
      <c r="B708" t="s">
        <v>28</v>
      </c>
      <c r="C708" t="s">
        <v>29</v>
      </c>
      <c r="D708" t="s">
        <v>30</v>
      </c>
      <c r="E708">
        <v>60</v>
      </c>
      <c r="F708" t="s">
        <v>31</v>
      </c>
      <c r="G708" t="s">
        <v>88</v>
      </c>
      <c r="H708" t="s">
        <v>89</v>
      </c>
      <c r="I708" t="s">
        <v>62</v>
      </c>
      <c r="J708">
        <v>14</v>
      </c>
      <c r="K708" s="1">
        <v>45751</v>
      </c>
      <c r="L708" s="1">
        <v>45761</v>
      </c>
      <c r="M708" t="s">
        <v>77</v>
      </c>
      <c r="N708" t="s">
        <v>26</v>
      </c>
      <c r="O708">
        <v>75156.66</v>
      </c>
      <c r="P708">
        <v>47348.7</v>
      </c>
      <c r="Q708">
        <v>27807.96</v>
      </c>
      <c r="R708" t="s">
        <v>32</v>
      </c>
      <c r="S708">
        <f t="shared" si="33"/>
        <v>10</v>
      </c>
      <c r="T708" s="2">
        <f t="shared" si="34"/>
        <v>0.6300000558832709</v>
      </c>
      <c r="U708" s="2">
        <f t="shared" si="35"/>
        <v>0.36999994411672893</v>
      </c>
    </row>
    <row r="709" spans="1:21" x14ac:dyDescent="0.3">
      <c r="A709">
        <v>10708</v>
      </c>
      <c r="B709" t="s">
        <v>144</v>
      </c>
      <c r="C709" t="s">
        <v>145</v>
      </c>
      <c r="D709" t="s">
        <v>30</v>
      </c>
      <c r="E709">
        <v>37</v>
      </c>
      <c r="F709" t="s">
        <v>40</v>
      </c>
      <c r="G709" t="s">
        <v>22</v>
      </c>
      <c r="H709" t="s">
        <v>23</v>
      </c>
      <c r="I709" t="s">
        <v>24</v>
      </c>
      <c r="J709">
        <v>15</v>
      </c>
      <c r="K709" s="1">
        <v>45932</v>
      </c>
      <c r="L709" s="1">
        <v>45935</v>
      </c>
      <c r="M709" t="s">
        <v>25</v>
      </c>
      <c r="N709" t="s">
        <v>26</v>
      </c>
      <c r="O709">
        <v>143195.38</v>
      </c>
      <c r="P709">
        <v>118852.17</v>
      </c>
      <c r="Q709">
        <v>24343.21</v>
      </c>
      <c r="R709" t="s">
        <v>32</v>
      </c>
      <c r="S709">
        <f t="shared" si="33"/>
        <v>3</v>
      </c>
      <c r="T709" s="2">
        <f t="shared" si="34"/>
        <v>0.83000003212394136</v>
      </c>
      <c r="U709" s="2">
        <f t="shared" si="35"/>
        <v>0.16999996787605856</v>
      </c>
    </row>
    <row r="710" spans="1:21" x14ac:dyDescent="0.3">
      <c r="A710">
        <v>10709</v>
      </c>
      <c r="B710" t="s">
        <v>123</v>
      </c>
      <c r="C710" t="s">
        <v>124</v>
      </c>
      <c r="D710" t="s">
        <v>30</v>
      </c>
      <c r="E710">
        <v>65</v>
      </c>
      <c r="F710" t="s">
        <v>35</v>
      </c>
      <c r="G710" t="s">
        <v>60</v>
      </c>
      <c r="H710" t="s">
        <v>61</v>
      </c>
      <c r="I710" t="s">
        <v>62</v>
      </c>
      <c r="J710">
        <v>18</v>
      </c>
      <c r="K710" s="1">
        <v>45813</v>
      </c>
      <c r="L710" s="1">
        <v>45825</v>
      </c>
      <c r="M710" t="s">
        <v>63</v>
      </c>
      <c r="N710" t="s">
        <v>26</v>
      </c>
      <c r="O710">
        <v>26231.99</v>
      </c>
      <c r="P710">
        <v>20198.63</v>
      </c>
      <c r="Q710">
        <v>6033.36</v>
      </c>
      <c r="R710" t="s">
        <v>32</v>
      </c>
      <c r="S710">
        <f t="shared" si="33"/>
        <v>12</v>
      </c>
      <c r="T710" s="2">
        <f t="shared" si="34"/>
        <v>0.76999991232079612</v>
      </c>
      <c r="U710" s="2">
        <f t="shared" si="35"/>
        <v>0.23000008767920388</v>
      </c>
    </row>
    <row r="711" spans="1:21" x14ac:dyDescent="0.3">
      <c r="A711">
        <v>10710</v>
      </c>
      <c r="B711" t="s">
        <v>102</v>
      </c>
      <c r="C711" t="s">
        <v>103</v>
      </c>
      <c r="D711" t="s">
        <v>30</v>
      </c>
      <c r="E711">
        <v>59</v>
      </c>
      <c r="F711" t="s">
        <v>75</v>
      </c>
      <c r="G711" t="s">
        <v>88</v>
      </c>
      <c r="H711" t="s">
        <v>89</v>
      </c>
      <c r="I711" t="s">
        <v>62</v>
      </c>
      <c r="J711">
        <v>14</v>
      </c>
      <c r="K711" s="1">
        <v>45947</v>
      </c>
      <c r="L711" s="1">
        <v>45949</v>
      </c>
      <c r="M711" t="s">
        <v>96</v>
      </c>
      <c r="N711" t="s">
        <v>26</v>
      </c>
      <c r="O711">
        <v>91362.91</v>
      </c>
      <c r="P711">
        <v>54817.75</v>
      </c>
      <c r="Q711">
        <v>36545.160000000003</v>
      </c>
      <c r="R711" t="s">
        <v>27</v>
      </c>
      <c r="S711">
        <f t="shared" si="33"/>
        <v>2</v>
      </c>
      <c r="T711" s="2">
        <f t="shared" si="34"/>
        <v>0.60000004378144256</v>
      </c>
      <c r="U711" s="2">
        <f t="shared" si="35"/>
        <v>0.39999995621855744</v>
      </c>
    </row>
    <row r="712" spans="1:21" x14ac:dyDescent="0.3">
      <c r="A712">
        <v>10711</v>
      </c>
      <c r="B712" t="s">
        <v>131</v>
      </c>
      <c r="C712" t="s">
        <v>132</v>
      </c>
      <c r="D712" t="s">
        <v>20</v>
      </c>
      <c r="E712">
        <v>68</v>
      </c>
      <c r="F712" t="s">
        <v>31</v>
      </c>
      <c r="G712" t="s">
        <v>36</v>
      </c>
      <c r="H712" t="s">
        <v>37</v>
      </c>
      <c r="I712" t="s">
        <v>24</v>
      </c>
      <c r="J712">
        <v>12</v>
      </c>
      <c r="K712" s="1">
        <v>45874</v>
      </c>
      <c r="L712" s="1">
        <v>45881</v>
      </c>
      <c r="M712" t="s">
        <v>76</v>
      </c>
      <c r="N712" t="s">
        <v>51</v>
      </c>
      <c r="O712">
        <v>349505.22</v>
      </c>
      <c r="P712">
        <v>223683.34</v>
      </c>
      <c r="Q712">
        <v>125821.88</v>
      </c>
      <c r="R712" t="s">
        <v>32</v>
      </c>
      <c r="S712">
        <f t="shared" si="33"/>
        <v>7</v>
      </c>
      <c r="T712" s="2">
        <f t="shared" si="34"/>
        <v>0.63999999771104998</v>
      </c>
      <c r="U712" s="2">
        <f t="shared" si="35"/>
        <v>0.36000000228895013</v>
      </c>
    </row>
    <row r="713" spans="1:21" x14ac:dyDescent="0.3">
      <c r="A713">
        <v>10712</v>
      </c>
      <c r="B713" t="s">
        <v>97</v>
      </c>
      <c r="C713" t="s">
        <v>98</v>
      </c>
      <c r="D713" t="s">
        <v>20</v>
      </c>
      <c r="E713">
        <v>43</v>
      </c>
      <c r="F713" t="s">
        <v>69</v>
      </c>
      <c r="G713" t="s">
        <v>41</v>
      </c>
      <c r="H713" t="s">
        <v>42</v>
      </c>
      <c r="I713" t="s">
        <v>43</v>
      </c>
      <c r="J713">
        <v>9</v>
      </c>
      <c r="K713" s="1">
        <v>45805</v>
      </c>
      <c r="L713" s="1">
        <v>45810</v>
      </c>
      <c r="M713" t="s">
        <v>44</v>
      </c>
      <c r="N713" t="s">
        <v>26</v>
      </c>
      <c r="O713">
        <v>31077.88</v>
      </c>
      <c r="P713">
        <v>19889.84</v>
      </c>
      <c r="Q713">
        <v>11188.04</v>
      </c>
      <c r="R713" t="s">
        <v>32</v>
      </c>
      <c r="S713">
        <f t="shared" si="33"/>
        <v>5</v>
      </c>
      <c r="T713" s="2">
        <f t="shared" si="34"/>
        <v>0.63999989703287352</v>
      </c>
      <c r="U713" s="2">
        <f t="shared" si="35"/>
        <v>0.36000010296712648</v>
      </c>
    </row>
    <row r="714" spans="1:21" x14ac:dyDescent="0.3">
      <c r="A714">
        <v>10713</v>
      </c>
      <c r="B714" t="s">
        <v>131</v>
      </c>
      <c r="C714" t="s">
        <v>132</v>
      </c>
      <c r="D714" t="s">
        <v>20</v>
      </c>
      <c r="E714">
        <v>68</v>
      </c>
      <c r="F714" t="s">
        <v>31</v>
      </c>
      <c r="G714" t="s">
        <v>55</v>
      </c>
      <c r="H714" t="s">
        <v>56</v>
      </c>
      <c r="I714" t="s">
        <v>49</v>
      </c>
      <c r="J714">
        <v>10</v>
      </c>
      <c r="K714" s="1">
        <v>45998</v>
      </c>
      <c r="L714" s="1">
        <v>46001</v>
      </c>
      <c r="M714" t="s">
        <v>50</v>
      </c>
      <c r="N714" t="s">
        <v>26</v>
      </c>
      <c r="O714">
        <v>205742.91</v>
      </c>
      <c r="P714">
        <v>158422.04</v>
      </c>
      <c r="Q714">
        <v>47320.87</v>
      </c>
      <c r="R714" t="s">
        <v>27</v>
      </c>
      <c r="S714">
        <f t="shared" si="33"/>
        <v>3</v>
      </c>
      <c r="T714" s="2">
        <f t="shared" si="34"/>
        <v>0.76999999659769569</v>
      </c>
      <c r="U714" s="2">
        <f t="shared" si="35"/>
        <v>0.23000000340230436</v>
      </c>
    </row>
    <row r="715" spans="1:21" x14ac:dyDescent="0.3">
      <c r="A715">
        <v>10714</v>
      </c>
      <c r="B715" t="s">
        <v>82</v>
      </c>
      <c r="C715" t="s">
        <v>83</v>
      </c>
      <c r="D715" t="s">
        <v>20</v>
      </c>
      <c r="E715">
        <v>74</v>
      </c>
      <c r="F715" t="s">
        <v>84</v>
      </c>
      <c r="G715" t="s">
        <v>60</v>
      </c>
      <c r="H715" t="s">
        <v>61</v>
      </c>
      <c r="I715" t="s">
        <v>62</v>
      </c>
      <c r="J715">
        <v>18</v>
      </c>
      <c r="K715" s="1">
        <v>46007</v>
      </c>
      <c r="L715" s="1">
        <v>46014</v>
      </c>
      <c r="M715" t="s">
        <v>77</v>
      </c>
      <c r="N715" t="s">
        <v>51</v>
      </c>
      <c r="O715">
        <v>59679.16</v>
      </c>
      <c r="P715">
        <v>38194.660000000003</v>
      </c>
      <c r="Q715">
        <v>21484.5</v>
      </c>
      <c r="R715" t="s">
        <v>32</v>
      </c>
      <c r="S715">
        <f t="shared" si="33"/>
        <v>7</v>
      </c>
      <c r="T715" s="2">
        <f t="shared" si="34"/>
        <v>0.63999995978495683</v>
      </c>
      <c r="U715" s="2">
        <f t="shared" si="35"/>
        <v>0.36000004021504323</v>
      </c>
    </row>
    <row r="716" spans="1:21" x14ac:dyDescent="0.3">
      <c r="A716">
        <v>10715</v>
      </c>
      <c r="B716" t="s">
        <v>150</v>
      </c>
      <c r="C716" t="s">
        <v>151</v>
      </c>
      <c r="D716" t="s">
        <v>30</v>
      </c>
      <c r="E716">
        <v>47</v>
      </c>
      <c r="F716" t="s">
        <v>54</v>
      </c>
      <c r="G716" t="s">
        <v>22</v>
      </c>
      <c r="H716" t="s">
        <v>23</v>
      </c>
      <c r="I716" t="s">
        <v>24</v>
      </c>
      <c r="J716">
        <v>15</v>
      </c>
      <c r="K716" s="1">
        <v>45953</v>
      </c>
      <c r="L716" s="1">
        <v>45960</v>
      </c>
      <c r="M716" t="s">
        <v>76</v>
      </c>
      <c r="N716" t="s">
        <v>26</v>
      </c>
      <c r="O716">
        <v>212759.81</v>
      </c>
      <c r="P716">
        <v>161697.46</v>
      </c>
      <c r="Q716">
        <v>51062.35</v>
      </c>
      <c r="R716" t="s">
        <v>32</v>
      </c>
      <c r="S716">
        <f t="shared" si="33"/>
        <v>7</v>
      </c>
      <c r="T716" s="2">
        <f t="shared" si="34"/>
        <v>0.76000002068059747</v>
      </c>
      <c r="U716" s="2">
        <f t="shared" si="35"/>
        <v>0.23999997931940248</v>
      </c>
    </row>
    <row r="717" spans="1:21" x14ac:dyDescent="0.3">
      <c r="A717">
        <v>10716</v>
      </c>
      <c r="B717" t="s">
        <v>131</v>
      </c>
      <c r="C717" t="s">
        <v>132</v>
      </c>
      <c r="D717" t="s">
        <v>20</v>
      </c>
      <c r="E717">
        <v>68</v>
      </c>
      <c r="F717" t="s">
        <v>31</v>
      </c>
      <c r="G717" t="s">
        <v>36</v>
      </c>
      <c r="H717" t="s">
        <v>37</v>
      </c>
      <c r="I717" t="s">
        <v>24</v>
      </c>
      <c r="J717">
        <v>12</v>
      </c>
      <c r="K717" s="1">
        <v>45936</v>
      </c>
      <c r="L717" s="1">
        <v>45948</v>
      </c>
      <c r="M717" t="s">
        <v>66</v>
      </c>
      <c r="N717" t="s">
        <v>26</v>
      </c>
      <c r="O717">
        <v>39142.99</v>
      </c>
      <c r="P717">
        <v>27791.52</v>
      </c>
      <c r="Q717">
        <v>11351.47</v>
      </c>
      <c r="R717" t="s">
        <v>32</v>
      </c>
      <c r="S717">
        <f t="shared" si="33"/>
        <v>12</v>
      </c>
      <c r="T717" s="2">
        <f t="shared" si="34"/>
        <v>0.70999992591266026</v>
      </c>
      <c r="U717" s="2">
        <f t="shared" si="35"/>
        <v>0.2900000740873398</v>
      </c>
    </row>
    <row r="718" spans="1:21" x14ac:dyDescent="0.3">
      <c r="A718">
        <v>10717</v>
      </c>
      <c r="B718" t="s">
        <v>162</v>
      </c>
      <c r="C718" t="s">
        <v>91</v>
      </c>
      <c r="D718" t="s">
        <v>30</v>
      </c>
      <c r="E718">
        <v>39</v>
      </c>
      <c r="F718" t="s">
        <v>119</v>
      </c>
      <c r="G718" t="s">
        <v>22</v>
      </c>
      <c r="H718" t="s">
        <v>23</v>
      </c>
      <c r="I718" t="s">
        <v>24</v>
      </c>
      <c r="J718">
        <v>15</v>
      </c>
      <c r="K718" s="1">
        <v>45825</v>
      </c>
      <c r="L718" s="1">
        <v>45830</v>
      </c>
      <c r="M718" t="s">
        <v>66</v>
      </c>
      <c r="N718" t="s">
        <v>51</v>
      </c>
      <c r="O718">
        <v>75047.789999999994</v>
      </c>
      <c r="P718">
        <v>60788.71</v>
      </c>
      <c r="Q718">
        <v>14259.08</v>
      </c>
      <c r="R718" t="s">
        <v>32</v>
      </c>
      <c r="S718">
        <f t="shared" si="33"/>
        <v>5</v>
      </c>
      <c r="T718" s="2">
        <f t="shared" si="34"/>
        <v>0.81000000133248429</v>
      </c>
      <c r="U718" s="2">
        <f t="shared" si="35"/>
        <v>0.18999999866751574</v>
      </c>
    </row>
    <row r="719" spans="1:21" x14ac:dyDescent="0.3">
      <c r="A719">
        <v>10718</v>
      </c>
      <c r="B719" t="s">
        <v>82</v>
      </c>
      <c r="C719" t="s">
        <v>83</v>
      </c>
      <c r="D719" t="s">
        <v>20</v>
      </c>
      <c r="E719">
        <v>74</v>
      </c>
      <c r="F719" t="s">
        <v>84</v>
      </c>
      <c r="G719" t="s">
        <v>55</v>
      </c>
      <c r="H719" t="s">
        <v>56</v>
      </c>
      <c r="I719" t="s">
        <v>49</v>
      </c>
      <c r="J719">
        <v>10</v>
      </c>
      <c r="K719" s="1">
        <v>45800</v>
      </c>
      <c r="L719" s="1">
        <v>45804</v>
      </c>
      <c r="M719" t="s">
        <v>85</v>
      </c>
      <c r="N719" t="s">
        <v>26</v>
      </c>
      <c r="O719">
        <v>102154.73</v>
      </c>
      <c r="P719">
        <v>71508.31</v>
      </c>
      <c r="Q719">
        <v>30646.42</v>
      </c>
      <c r="R719" t="s">
        <v>27</v>
      </c>
      <c r="S719">
        <f t="shared" si="33"/>
        <v>4</v>
      </c>
      <c r="T719" s="2">
        <f t="shared" si="34"/>
        <v>0.69999999021092807</v>
      </c>
      <c r="U719" s="2">
        <f t="shared" si="35"/>
        <v>0.30000000978907193</v>
      </c>
    </row>
    <row r="720" spans="1:21" x14ac:dyDescent="0.3">
      <c r="A720">
        <v>10719</v>
      </c>
      <c r="B720" t="s">
        <v>150</v>
      </c>
      <c r="C720" t="s">
        <v>151</v>
      </c>
      <c r="D720" t="s">
        <v>30</v>
      </c>
      <c r="E720">
        <v>47</v>
      </c>
      <c r="F720" t="s">
        <v>54</v>
      </c>
      <c r="G720" t="s">
        <v>88</v>
      </c>
      <c r="H720" t="s">
        <v>89</v>
      </c>
      <c r="I720" t="s">
        <v>62</v>
      </c>
      <c r="J720">
        <v>14</v>
      </c>
      <c r="K720" s="1">
        <v>45977</v>
      </c>
      <c r="L720" s="1">
        <v>45984</v>
      </c>
      <c r="M720" t="s">
        <v>96</v>
      </c>
      <c r="N720" t="s">
        <v>26</v>
      </c>
      <c r="O720">
        <v>306485.58</v>
      </c>
      <c r="P720">
        <v>199215.63</v>
      </c>
      <c r="Q720">
        <v>107269.95</v>
      </c>
      <c r="R720" t="s">
        <v>32</v>
      </c>
      <c r="S720">
        <f t="shared" si="33"/>
        <v>7</v>
      </c>
      <c r="T720" s="2">
        <f t="shared" si="34"/>
        <v>0.65000000978838868</v>
      </c>
      <c r="U720" s="2">
        <f t="shared" si="35"/>
        <v>0.34999999021161121</v>
      </c>
    </row>
    <row r="721" spans="1:21" x14ac:dyDescent="0.3">
      <c r="A721">
        <v>10720</v>
      </c>
      <c r="B721" t="s">
        <v>158</v>
      </c>
      <c r="C721" t="s">
        <v>159</v>
      </c>
      <c r="D721" t="s">
        <v>30</v>
      </c>
      <c r="E721">
        <v>18</v>
      </c>
      <c r="F721" t="s">
        <v>35</v>
      </c>
      <c r="G721" t="s">
        <v>41</v>
      </c>
      <c r="H721" t="s">
        <v>42</v>
      </c>
      <c r="I721" t="s">
        <v>43</v>
      </c>
      <c r="J721">
        <v>9</v>
      </c>
      <c r="K721" s="1">
        <v>45882</v>
      </c>
      <c r="L721" s="1">
        <v>45885</v>
      </c>
      <c r="M721" t="s">
        <v>44</v>
      </c>
      <c r="N721" t="s">
        <v>51</v>
      </c>
      <c r="O721">
        <v>28513.439999999999</v>
      </c>
      <c r="P721">
        <v>23951.29</v>
      </c>
      <c r="Q721">
        <v>4562.1499999999996</v>
      </c>
      <c r="R721" t="s">
        <v>32</v>
      </c>
      <c r="S721">
        <f t="shared" si="33"/>
        <v>3</v>
      </c>
      <c r="T721" s="2">
        <f t="shared" si="34"/>
        <v>0.84000001402847224</v>
      </c>
      <c r="U721" s="2">
        <f t="shared" si="35"/>
        <v>0.15999998597152781</v>
      </c>
    </row>
    <row r="722" spans="1:21" x14ac:dyDescent="0.3">
      <c r="A722">
        <v>10721</v>
      </c>
      <c r="B722" t="s">
        <v>110</v>
      </c>
      <c r="C722" t="s">
        <v>111</v>
      </c>
      <c r="D722" t="s">
        <v>20</v>
      </c>
      <c r="E722">
        <v>44</v>
      </c>
      <c r="F722" t="s">
        <v>35</v>
      </c>
      <c r="G722" t="s">
        <v>41</v>
      </c>
      <c r="H722" t="s">
        <v>42</v>
      </c>
      <c r="I722" t="s">
        <v>43</v>
      </c>
      <c r="J722">
        <v>9</v>
      </c>
      <c r="K722" s="1">
        <v>45751</v>
      </c>
      <c r="L722" s="1">
        <v>45759</v>
      </c>
      <c r="M722" t="s">
        <v>112</v>
      </c>
      <c r="N722" t="s">
        <v>26</v>
      </c>
      <c r="O722">
        <v>59029.23</v>
      </c>
      <c r="P722">
        <v>43681.63</v>
      </c>
      <c r="Q722">
        <v>15347.6</v>
      </c>
      <c r="R722" t="s">
        <v>27</v>
      </c>
      <c r="S722">
        <f t="shared" si="33"/>
        <v>8</v>
      </c>
      <c r="T722" s="2">
        <f t="shared" si="34"/>
        <v>0.73999999661184801</v>
      </c>
      <c r="U722" s="2">
        <f t="shared" si="35"/>
        <v>0.26000000338815193</v>
      </c>
    </row>
    <row r="723" spans="1:21" x14ac:dyDescent="0.3">
      <c r="A723">
        <v>10722</v>
      </c>
      <c r="B723" t="s">
        <v>86</v>
      </c>
      <c r="C723" t="s">
        <v>87</v>
      </c>
      <c r="D723" t="s">
        <v>30</v>
      </c>
      <c r="E723">
        <v>23</v>
      </c>
      <c r="F723" t="s">
        <v>31</v>
      </c>
      <c r="G723" t="s">
        <v>41</v>
      </c>
      <c r="H723" t="s">
        <v>42</v>
      </c>
      <c r="I723" t="s">
        <v>43</v>
      </c>
      <c r="J723">
        <v>9</v>
      </c>
      <c r="K723" s="1">
        <v>45980</v>
      </c>
      <c r="L723" s="1">
        <v>45994</v>
      </c>
      <c r="M723" t="s">
        <v>44</v>
      </c>
      <c r="N723" t="s">
        <v>26</v>
      </c>
      <c r="O723">
        <v>16109.9</v>
      </c>
      <c r="P723">
        <v>11760.23</v>
      </c>
      <c r="Q723">
        <v>4349.67</v>
      </c>
      <c r="R723" t="s">
        <v>32</v>
      </c>
      <c r="S723">
        <f t="shared" si="33"/>
        <v>14</v>
      </c>
      <c r="T723" s="2">
        <f t="shared" si="34"/>
        <v>0.73000018622089524</v>
      </c>
      <c r="U723" s="2">
        <f t="shared" si="35"/>
        <v>0.26999981377910476</v>
      </c>
    </row>
    <row r="724" spans="1:21" x14ac:dyDescent="0.3">
      <c r="A724">
        <v>10723</v>
      </c>
      <c r="B724" t="s">
        <v>67</v>
      </c>
      <c r="C724" t="s">
        <v>68</v>
      </c>
      <c r="D724" t="s">
        <v>20</v>
      </c>
      <c r="E724">
        <v>33</v>
      </c>
      <c r="F724" t="s">
        <v>69</v>
      </c>
      <c r="G724" t="s">
        <v>47</v>
      </c>
      <c r="H724" t="s">
        <v>48</v>
      </c>
      <c r="I724" t="s">
        <v>49</v>
      </c>
      <c r="J724">
        <v>8</v>
      </c>
      <c r="K724" s="1">
        <v>45979</v>
      </c>
      <c r="L724" s="1">
        <v>45987</v>
      </c>
      <c r="M724" t="s">
        <v>50</v>
      </c>
      <c r="N724" t="s">
        <v>51</v>
      </c>
      <c r="O724">
        <v>376242.65</v>
      </c>
      <c r="P724">
        <v>248320.15</v>
      </c>
      <c r="Q724">
        <v>127922.5</v>
      </c>
      <c r="R724" t="s">
        <v>32</v>
      </c>
      <c r="S724">
        <f t="shared" si="33"/>
        <v>8</v>
      </c>
      <c r="T724" s="2">
        <f t="shared" si="34"/>
        <v>0.66000000265785919</v>
      </c>
      <c r="U724" s="2">
        <f t="shared" si="35"/>
        <v>0.33999999734214076</v>
      </c>
    </row>
    <row r="725" spans="1:21" x14ac:dyDescent="0.3">
      <c r="A725">
        <v>10724</v>
      </c>
      <c r="B725" t="s">
        <v>150</v>
      </c>
      <c r="C725" t="s">
        <v>151</v>
      </c>
      <c r="D725" t="s">
        <v>30</v>
      </c>
      <c r="E725">
        <v>47</v>
      </c>
      <c r="F725" t="s">
        <v>54</v>
      </c>
      <c r="G725" t="s">
        <v>55</v>
      </c>
      <c r="H725" t="s">
        <v>56</v>
      </c>
      <c r="I725" t="s">
        <v>49</v>
      </c>
      <c r="J725">
        <v>10</v>
      </c>
      <c r="K725" s="1">
        <v>45673</v>
      </c>
      <c r="L725" s="1">
        <v>45686</v>
      </c>
      <c r="M725" t="s">
        <v>50</v>
      </c>
      <c r="N725" t="s">
        <v>26</v>
      </c>
      <c r="O725">
        <v>378136.95</v>
      </c>
      <c r="P725">
        <v>283602.71000000002</v>
      </c>
      <c r="Q725">
        <v>94534.24</v>
      </c>
      <c r="R725" t="s">
        <v>32</v>
      </c>
      <c r="S725">
        <f t="shared" si="33"/>
        <v>13</v>
      </c>
      <c r="T725" s="2">
        <f t="shared" si="34"/>
        <v>0.74999999338863876</v>
      </c>
      <c r="U725" s="2">
        <f t="shared" si="35"/>
        <v>0.25000000661136129</v>
      </c>
    </row>
    <row r="726" spans="1:21" x14ac:dyDescent="0.3">
      <c r="A726">
        <v>10725</v>
      </c>
      <c r="B726" t="s">
        <v>99</v>
      </c>
      <c r="C726" t="s">
        <v>100</v>
      </c>
      <c r="D726" t="s">
        <v>30</v>
      </c>
      <c r="E726">
        <v>68</v>
      </c>
      <c r="F726" t="s">
        <v>69</v>
      </c>
      <c r="G726" t="s">
        <v>55</v>
      </c>
      <c r="H726" t="s">
        <v>56</v>
      </c>
      <c r="I726" t="s">
        <v>49</v>
      </c>
      <c r="J726">
        <v>10</v>
      </c>
      <c r="K726" s="1">
        <v>45828</v>
      </c>
      <c r="L726" s="1">
        <v>45842</v>
      </c>
      <c r="M726" t="s">
        <v>101</v>
      </c>
      <c r="N726" t="s">
        <v>51</v>
      </c>
      <c r="O726">
        <v>64177.39</v>
      </c>
      <c r="P726">
        <v>51983.69</v>
      </c>
      <c r="Q726">
        <v>12193.7</v>
      </c>
      <c r="R726" t="s">
        <v>32</v>
      </c>
      <c r="S726">
        <f t="shared" si="33"/>
        <v>14</v>
      </c>
      <c r="T726" s="2">
        <f t="shared" si="34"/>
        <v>0.81000006388542756</v>
      </c>
      <c r="U726" s="2">
        <f t="shared" si="35"/>
        <v>0.18999993611457244</v>
      </c>
    </row>
    <row r="727" spans="1:21" x14ac:dyDescent="0.3">
      <c r="A727">
        <v>10726</v>
      </c>
      <c r="B727" t="s">
        <v>133</v>
      </c>
      <c r="C727" t="s">
        <v>134</v>
      </c>
      <c r="D727" t="s">
        <v>20</v>
      </c>
      <c r="E727">
        <v>56</v>
      </c>
      <c r="F727" t="s">
        <v>40</v>
      </c>
      <c r="G727" t="s">
        <v>70</v>
      </c>
      <c r="H727" t="s">
        <v>71</v>
      </c>
      <c r="I727" t="s">
        <v>43</v>
      </c>
      <c r="J727">
        <v>11</v>
      </c>
      <c r="K727" s="1">
        <v>46001</v>
      </c>
      <c r="L727" s="1">
        <v>46004</v>
      </c>
      <c r="M727" t="s">
        <v>112</v>
      </c>
      <c r="N727" t="s">
        <v>26</v>
      </c>
      <c r="O727">
        <v>37504.71</v>
      </c>
      <c r="P727">
        <v>24378.06</v>
      </c>
      <c r="Q727">
        <v>13126.65</v>
      </c>
      <c r="R727" t="s">
        <v>32</v>
      </c>
      <c r="S727">
        <f t="shared" si="33"/>
        <v>3</v>
      </c>
      <c r="T727" s="2">
        <f t="shared" si="34"/>
        <v>0.64999996000502347</v>
      </c>
      <c r="U727" s="2">
        <f t="shared" si="35"/>
        <v>0.35000003999497664</v>
      </c>
    </row>
    <row r="728" spans="1:21" x14ac:dyDescent="0.3">
      <c r="A728">
        <v>10727</v>
      </c>
      <c r="B728" t="s">
        <v>115</v>
      </c>
      <c r="C728" t="s">
        <v>116</v>
      </c>
      <c r="D728" t="s">
        <v>30</v>
      </c>
      <c r="E728">
        <v>18</v>
      </c>
      <c r="F728" t="s">
        <v>31</v>
      </c>
      <c r="G728" t="s">
        <v>22</v>
      </c>
      <c r="H728" t="s">
        <v>23</v>
      </c>
      <c r="I728" t="s">
        <v>24</v>
      </c>
      <c r="J728">
        <v>15</v>
      </c>
      <c r="K728" s="1">
        <v>45794</v>
      </c>
      <c r="L728" s="1">
        <v>45805</v>
      </c>
      <c r="M728" t="s">
        <v>66</v>
      </c>
      <c r="N728" t="s">
        <v>51</v>
      </c>
      <c r="O728">
        <v>72279.460000000006</v>
      </c>
      <c r="P728">
        <v>57823.57</v>
      </c>
      <c r="Q728">
        <v>14455.89</v>
      </c>
      <c r="R728" t="s">
        <v>32</v>
      </c>
      <c r="S728">
        <f t="shared" si="33"/>
        <v>11</v>
      </c>
      <c r="T728" s="2">
        <f t="shared" si="34"/>
        <v>0.80000002767037826</v>
      </c>
      <c r="U728" s="2">
        <f t="shared" si="35"/>
        <v>0.19999997232962169</v>
      </c>
    </row>
    <row r="729" spans="1:21" x14ac:dyDescent="0.3">
      <c r="A729">
        <v>10728</v>
      </c>
      <c r="B729" t="s">
        <v>160</v>
      </c>
      <c r="C729" t="s">
        <v>161</v>
      </c>
      <c r="D729" t="s">
        <v>20</v>
      </c>
      <c r="E729">
        <v>18</v>
      </c>
      <c r="F729" t="s">
        <v>54</v>
      </c>
      <c r="G729" t="s">
        <v>55</v>
      </c>
      <c r="H729" t="s">
        <v>56</v>
      </c>
      <c r="I729" t="s">
        <v>49</v>
      </c>
      <c r="J729">
        <v>10</v>
      </c>
      <c r="K729" s="1">
        <v>45822</v>
      </c>
      <c r="L729" s="1">
        <v>45824</v>
      </c>
      <c r="M729" t="s">
        <v>85</v>
      </c>
      <c r="N729" t="s">
        <v>26</v>
      </c>
      <c r="O729">
        <v>99390.54</v>
      </c>
      <c r="P729">
        <v>76530.720000000001</v>
      </c>
      <c r="Q729">
        <v>22859.82</v>
      </c>
      <c r="R729" t="s">
        <v>32</v>
      </c>
      <c r="S729">
        <f t="shared" si="33"/>
        <v>2</v>
      </c>
      <c r="T729" s="2">
        <f t="shared" si="34"/>
        <v>0.77000004225754293</v>
      </c>
      <c r="U729" s="2">
        <f t="shared" si="35"/>
        <v>0.22999995774245718</v>
      </c>
    </row>
    <row r="730" spans="1:21" x14ac:dyDescent="0.3">
      <c r="A730">
        <v>10729</v>
      </c>
      <c r="B730" t="s">
        <v>99</v>
      </c>
      <c r="C730" t="s">
        <v>100</v>
      </c>
      <c r="D730" t="s">
        <v>30</v>
      </c>
      <c r="E730">
        <v>68</v>
      </c>
      <c r="F730" t="s">
        <v>69</v>
      </c>
      <c r="G730" t="s">
        <v>22</v>
      </c>
      <c r="H730" t="s">
        <v>23</v>
      </c>
      <c r="I730" t="s">
        <v>24</v>
      </c>
      <c r="J730">
        <v>15</v>
      </c>
      <c r="K730" s="1">
        <v>45859</v>
      </c>
      <c r="L730" s="1">
        <v>45871</v>
      </c>
      <c r="M730" t="s">
        <v>66</v>
      </c>
      <c r="N730" t="s">
        <v>51</v>
      </c>
      <c r="O730">
        <v>65615.570000000007</v>
      </c>
      <c r="P730">
        <v>53804.77</v>
      </c>
      <c r="Q730">
        <v>11810.8</v>
      </c>
      <c r="R730" t="s">
        <v>32</v>
      </c>
      <c r="S730">
        <f t="shared" si="33"/>
        <v>12</v>
      </c>
      <c r="T730" s="2">
        <f t="shared" si="34"/>
        <v>0.82000003962474133</v>
      </c>
      <c r="U730" s="2">
        <f t="shared" si="35"/>
        <v>0.17999996037525848</v>
      </c>
    </row>
    <row r="731" spans="1:21" x14ac:dyDescent="0.3">
      <c r="A731">
        <v>10730</v>
      </c>
      <c r="B731" t="s">
        <v>113</v>
      </c>
      <c r="C731" t="s">
        <v>114</v>
      </c>
      <c r="D731" t="s">
        <v>30</v>
      </c>
      <c r="E731">
        <v>33</v>
      </c>
      <c r="F731" t="s">
        <v>59</v>
      </c>
      <c r="G731" t="s">
        <v>36</v>
      </c>
      <c r="H731" t="s">
        <v>37</v>
      </c>
      <c r="I731" t="s">
        <v>24</v>
      </c>
      <c r="J731">
        <v>12</v>
      </c>
      <c r="K731" s="1">
        <v>45698</v>
      </c>
      <c r="L731" s="1">
        <v>45709</v>
      </c>
      <c r="M731" t="s">
        <v>25</v>
      </c>
      <c r="N731" t="s">
        <v>26</v>
      </c>
      <c r="O731">
        <v>181014.3</v>
      </c>
      <c r="P731">
        <v>144811.44</v>
      </c>
      <c r="Q731">
        <v>36202.86</v>
      </c>
      <c r="R731" t="s">
        <v>32</v>
      </c>
      <c r="S731">
        <f t="shared" si="33"/>
        <v>11</v>
      </c>
      <c r="T731" s="2">
        <f t="shared" si="34"/>
        <v>0.8</v>
      </c>
      <c r="U731" s="2">
        <f t="shared" si="35"/>
        <v>0.2</v>
      </c>
    </row>
    <row r="732" spans="1:21" x14ac:dyDescent="0.3">
      <c r="A732">
        <v>10731</v>
      </c>
      <c r="B732" t="s">
        <v>78</v>
      </c>
      <c r="C732" t="s">
        <v>79</v>
      </c>
      <c r="D732" t="s">
        <v>20</v>
      </c>
      <c r="E732">
        <v>67</v>
      </c>
      <c r="F732" t="s">
        <v>35</v>
      </c>
      <c r="G732" t="s">
        <v>70</v>
      </c>
      <c r="H732" t="s">
        <v>71</v>
      </c>
      <c r="I732" t="s">
        <v>43</v>
      </c>
      <c r="J732">
        <v>11</v>
      </c>
      <c r="K732" s="1">
        <v>45783</v>
      </c>
      <c r="L732" s="1">
        <v>45787</v>
      </c>
      <c r="M732" t="s">
        <v>72</v>
      </c>
      <c r="N732" t="s">
        <v>51</v>
      </c>
      <c r="O732">
        <v>21946.93</v>
      </c>
      <c r="P732">
        <v>14046.04</v>
      </c>
      <c r="Q732">
        <v>7900.89</v>
      </c>
      <c r="R732" t="s">
        <v>32</v>
      </c>
      <c r="S732">
        <f t="shared" si="33"/>
        <v>4</v>
      </c>
      <c r="T732" s="2">
        <f t="shared" si="34"/>
        <v>0.64000021870940493</v>
      </c>
      <c r="U732" s="2">
        <f t="shared" si="35"/>
        <v>0.35999978129059512</v>
      </c>
    </row>
    <row r="733" spans="1:21" x14ac:dyDescent="0.3">
      <c r="A733">
        <v>10732</v>
      </c>
      <c r="B733" t="s">
        <v>150</v>
      </c>
      <c r="C733" t="s">
        <v>151</v>
      </c>
      <c r="D733" t="s">
        <v>30</v>
      </c>
      <c r="E733">
        <v>47</v>
      </c>
      <c r="F733" t="s">
        <v>54</v>
      </c>
      <c r="G733" t="s">
        <v>41</v>
      </c>
      <c r="H733" t="s">
        <v>42</v>
      </c>
      <c r="I733" t="s">
        <v>43</v>
      </c>
      <c r="J733">
        <v>9</v>
      </c>
      <c r="K733" s="1">
        <v>45760</v>
      </c>
      <c r="L733" s="1">
        <v>45763</v>
      </c>
      <c r="M733" t="s">
        <v>112</v>
      </c>
      <c r="N733" t="s">
        <v>26</v>
      </c>
      <c r="O733">
        <v>61046.33</v>
      </c>
      <c r="P733">
        <v>38459.19</v>
      </c>
      <c r="Q733">
        <v>22587.14</v>
      </c>
      <c r="R733" t="s">
        <v>32</v>
      </c>
      <c r="S733">
        <f t="shared" si="33"/>
        <v>3</v>
      </c>
      <c r="T733" s="2">
        <f t="shared" si="34"/>
        <v>0.63000003440010233</v>
      </c>
      <c r="U733" s="2">
        <f t="shared" si="35"/>
        <v>0.36999996559989762</v>
      </c>
    </row>
    <row r="734" spans="1:21" x14ac:dyDescent="0.3">
      <c r="A734">
        <v>10733</v>
      </c>
      <c r="B734" t="s">
        <v>97</v>
      </c>
      <c r="C734" t="s">
        <v>98</v>
      </c>
      <c r="D734" t="s">
        <v>20</v>
      </c>
      <c r="E734">
        <v>43</v>
      </c>
      <c r="F734" t="s">
        <v>69</v>
      </c>
      <c r="G734" t="s">
        <v>70</v>
      </c>
      <c r="H734" t="s">
        <v>71</v>
      </c>
      <c r="I734" t="s">
        <v>43</v>
      </c>
      <c r="J734">
        <v>11</v>
      </c>
      <c r="K734" s="1">
        <v>45683</v>
      </c>
      <c r="L734" s="1">
        <v>45688</v>
      </c>
      <c r="M734" t="s">
        <v>112</v>
      </c>
      <c r="N734" t="s">
        <v>26</v>
      </c>
      <c r="O734">
        <v>73010.05</v>
      </c>
      <c r="P734">
        <v>47456.53</v>
      </c>
      <c r="Q734">
        <v>25553.52</v>
      </c>
      <c r="R734" t="s">
        <v>27</v>
      </c>
      <c r="S734">
        <f t="shared" si="33"/>
        <v>5</v>
      </c>
      <c r="T734" s="2">
        <f t="shared" si="34"/>
        <v>0.64999996575813879</v>
      </c>
      <c r="U734" s="2">
        <f t="shared" si="35"/>
        <v>0.35000003424186121</v>
      </c>
    </row>
    <row r="735" spans="1:21" x14ac:dyDescent="0.3">
      <c r="A735">
        <v>10734</v>
      </c>
      <c r="B735" t="s">
        <v>156</v>
      </c>
      <c r="C735" t="s">
        <v>157</v>
      </c>
      <c r="D735" t="s">
        <v>30</v>
      </c>
      <c r="E735">
        <v>47</v>
      </c>
      <c r="F735" t="s">
        <v>40</v>
      </c>
      <c r="G735" t="s">
        <v>60</v>
      </c>
      <c r="H735" t="s">
        <v>61</v>
      </c>
      <c r="I735" t="s">
        <v>62</v>
      </c>
      <c r="J735">
        <v>18</v>
      </c>
      <c r="K735" s="1">
        <v>45904</v>
      </c>
      <c r="L735" s="1">
        <v>45906</v>
      </c>
      <c r="M735" t="s">
        <v>77</v>
      </c>
      <c r="N735" t="s">
        <v>51</v>
      </c>
      <c r="O735">
        <v>91095.66</v>
      </c>
      <c r="P735">
        <v>72876.53</v>
      </c>
      <c r="Q735">
        <v>18219.13</v>
      </c>
      <c r="R735" t="s">
        <v>32</v>
      </c>
      <c r="S735">
        <f t="shared" si="33"/>
        <v>2</v>
      </c>
      <c r="T735" s="2">
        <f t="shared" si="34"/>
        <v>0.80000002195494269</v>
      </c>
      <c r="U735" s="2">
        <f t="shared" si="35"/>
        <v>0.19999997804505726</v>
      </c>
    </row>
    <row r="736" spans="1:21" x14ac:dyDescent="0.3">
      <c r="A736">
        <v>10735</v>
      </c>
      <c r="B736" t="s">
        <v>154</v>
      </c>
      <c r="C736" t="s">
        <v>155</v>
      </c>
      <c r="D736" t="s">
        <v>30</v>
      </c>
      <c r="E736">
        <v>67</v>
      </c>
      <c r="F736" t="s">
        <v>119</v>
      </c>
      <c r="G736" t="s">
        <v>22</v>
      </c>
      <c r="H736" t="s">
        <v>23</v>
      </c>
      <c r="I736" t="s">
        <v>24</v>
      </c>
      <c r="J736">
        <v>15</v>
      </c>
      <c r="K736" s="1">
        <v>45733</v>
      </c>
      <c r="L736" s="1">
        <v>45746</v>
      </c>
      <c r="M736" t="s">
        <v>76</v>
      </c>
      <c r="N736" t="s">
        <v>26</v>
      </c>
      <c r="O736">
        <v>283988.53999999998</v>
      </c>
      <c r="P736">
        <v>198791.98</v>
      </c>
      <c r="Q736">
        <v>85196.56</v>
      </c>
      <c r="R736" t="s">
        <v>32</v>
      </c>
      <c r="S736">
        <f t="shared" si="33"/>
        <v>13</v>
      </c>
      <c r="T736" s="2">
        <f t="shared" si="34"/>
        <v>0.70000000704253784</v>
      </c>
      <c r="U736" s="2">
        <f t="shared" si="35"/>
        <v>0.29999999295746232</v>
      </c>
    </row>
    <row r="737" spans="1:21" x14ac:dyDescent="0.3">
      <c r="A737">
        <v>10736</v>
      </c>
      <c r="B737" t="s">
        <v>137</v>
      </c>
      <c r="C737" t="s">
        <v>138</v>
      </c>
      <c r="D737" t="s">
        <v>30</v>
      </c>
      <c r="E737">
        <v>56</v>
      </c>
      <c r="F737" t="s">
        <v>59</v>
      </c>
      <c r="G737" t="s">
        <v>36</v>
      </c>
      <c r="H737" t="s">
        <v>37</v>
      </c>
      <c r="I737" t="s">
        <v>24</v>
      </c>
      <c r="J737">
        <v>12</v>
      </c>
      <c r="K737" s="1">
        <v>45763</v>
      </c>
      <c r="L737" s="1">
        <v>45765</v>
      </c>
      <c r="M737" t="s">
        <v>66</v>
      </c>
      <c r="N737" t="s">
        <v>26</v>
      </c>
      <c r="O737">
        <v>64563.98</v>
      </c>
      <c r="P737">
        <v>38738.39</v>
      </c>
      <c r="Q737">
        <v>25825.59</v>
      </c>
      <c r="R737" t="s">
        <v>32</v>
      </c>
      <c r="S737">
        <f t="shared" si="33"/>
        <v>2</v>
      </c>
      <c r="T737" s="2">
        <f t="shared" si="34"/>
        <v>0.60000003097702459</v>
      </c>
      <c r="U737" s="2">
        <f t="shared" si="35"/>
        <v>0.39999996902297535</v>
      </c>
    </row>
    <row r="738" spans="1:21" x14ac:dyDescent="0.3">
      <c r="A738">
        <v>10737</v>
      </c>
      <c r="B738" t="s">
        <v>144</v>
      </c>
      <c r="C738" t="s">
        <v>145</v>
      </c>
      <c r="D738" t="s">
        <v>30</v>
      </c>
      <c r="E738">
        <v>37</v>
      </c>
      <c r="F738" t="s">
        <v>40</v>
      </c>
      <c r="G738" t="s">
        <v>55</v>
      </c>
      <c r="H738" t="s">
        <v>56</v>
      </c>
      <c r="I738" t="s">
        <v>49</v>
      </c>
      <c r="J738">
        <v>10</v>
      </c>
      <c r="K738" s="1">
        <v>45922</v>
      </c>
      <c r="L738" s="1">
        <v>45924</v>
      </c>
      <c r="M738" t="s">
        <v>85</v>
      </c>
      <c r="N738" t="s">
        <v>51</v>
      </c>
      <c r="O738">
        <v>90739.19</v>
      </c>
      <c r="P738">
        <v>68054.39</v>
      </c>
      <c r="Q738">
        <v>22684.799999999999</v>
      </c>
      <c r="R738" t="s">
        <v>32</v>
      </c>
      <c r="S738">
        <f t="shared" si="33"/>
        <v>2</v>
      </c>
      <c r="T738" s="2">
        <f t="shared" si="34"/>
        <v>0.74999997244850869</v>
      </c>
      <c r="U738" s="2">
        <f t="shared" si="35"/>
        <v>0.25000002755149126</v>
      </c>
    </row>
    <row r="739" spans="1:21" x14ac:dyDescent="0.3">
      <c r="A739">
        <v>10738</v>
      </c>
      <c r="B739" t="s">
        <v>18</v>
      </c>
      <c r="C739" t="s">
        <v>19</v>
      </c>
      <c r="D739" t="s">
        <v>20</v>
      </c>
      <c r="E739">
        <v>45</v>
      </c>
      <c r="F739" t="s">
        <v>21</v>
      </c>
      <c r="G739" t="s">
        <v>22</v>
      </c>
      <c r="H739" t="s">
        <v>23</v>
      </c>
      <c r="I739" t="s">
        <v>24</v>
      </c>
      <c r="J739">
        <v>15</v>
      </c>
      <c r="K739" s="1">
        <v>45842</v>
      </c>
      <c r="L739" s="1">
        <v>45849</v>
      </c>
      <c r="M739" t="s">
        <v>66</v>
      </c>
      <c r="N739" t="s">
        <v>51</v>
      </c>
      <c r="O739">
        <v>38500.230000000003</v>
      </c>
      <c r="P739">
        <v>26180.16</v>
      </c>
      <c r="Q739">
        <v>12320.07</v>
      </c>
      <c r="R739" t="s">
        <v>32</v>
      </c>
      <c r="S739">
        <f t="shared" si="33"/>
        <v>7</v>
      </c>
      <c r="T739" s="2">
        <f t="shared" si="34"/>
        <v>0.68000009350593482</v>
      </c>
      <c r="U739" s="2">
        <f t="shared" si="35"/>
        <v>0.31999990649406507</v>
      </c>
    </row>
    <row r="740" spans="1:21" x14ac:dyDescent="0.3">
      <c r="A740">
        <v>10739</v>
      </c>
      <c r="B740" t="s">
        <v>158</v>
      </c>
      <c r="C740" t="s">
        <v>159</v>
      </c>
      <c r="D740" t="s">
        <v>30</v>
      </c>
      <c r="E740">
        <v>18</v>
      </c>
      <c r="F740" t="s">
        <v>35</v>
      </c>
      <c r="G740" t="s">
        <v>47</v>
      </c>
      <c r="H740" t="s">
        <v>48</v>
      </c>
      <c r="I740" t="s">
        <v>49</v>
      </c>
      <c r="J740">
        <v>8</v>
      </c>
      <c r="K740" s="1">
        <v>45915</v>
      </c>
      <c r="L740" s="1">
        <v>45920</v>
      </c>
      <c r="M740" t="s">
        <v>85</v>
      </c>
      <c r="N740" t="s">
        <v>26</v>
      </c>
      <c r="O740">
        <v>110664.98</v>
      </c>
      <c r="P740">
        <v>86318.68</v>
      </c>
      <c r="Q740">
        <v>24346.3</v>
      </c>
      <c r="R740" t="s">
        <v>32</v>
      </c>
      <c r="S740">
        <f t="shared" si="33"/>
        <v>5</v>
      </c>
      <c r="T740" s="2">
        <f t="shared" si="34"/>
        <v>0.77999996024035789</v>
      </c>
      <c r="U740" s="2">
        <f t="shared" si="35"/>
        <v>0.22000003975964211</v>
      </c>
    </row>
    <row r="741" spans="1:21" x14ac:dyDescent="0.3">
      <c r="A741">
        <v>10740</v>
      </c>
      <c r="B741" t="s">
        <v>106</v>
      </c>
      <c r="C741" t="s">
        <v>107</v>
      </c>
      <c r="D741" t="s">
        <v>30</v>
      </c>
      <c r="E741">
        <v>37</v>
      </c>
      <c r="F741" t="s">
        <v>31</v>
      </c>
      <c r="G741" t="s">
        <v>70</v>
      </c>
      <c r="H741" t="s">
        <v>71</v>
      </c>
      <c r="I741" t="s">
        <v>43</v>
      </c>
      <c r="J741">
        <v>11</v>
      </c>
      <c r="K741" s="1">
        <v>45969</v>
      </c>
      <c r="L741" s="1">
        <v>45971</v>
      </c>
      <c r="M741" t="s">
        <v>72</v>
      </c>
      <c r="N741" t="s">
        <v>26</v>
      </c>
      <c r="O741">
        <v>21561.43</v>
      </c>
      <c r="P741">
        <v>16171.07</v>
      </c>
      <c r="Q741">
        <v>5390.36</v>
      </c>
      <c r="R741" t="s">
        <v>27</v>
      </c>
      <c r="S741">
        <f t="shared" si="33"/>
        <v>2</v>
      </c>
      <c r="T741" s="2">
        <f t="shared" si="34"/>
        <v>0.74999988405221729</v>
      </c>
      <c r="U741" s="2">
        <f t="shared" si="35"/>
        <v>0.25000011594778265</v>
      </c>
    </row>
    <row r="742" spans="1:21" x14ac:dyDescent="0.3">
      <c r="A742">
        <v>10741</v>
      </c>
      <c r="B742" t="s">
        <v>123</v>
      </c>
      <c r="C742" t="s">
        <v>124</v>
      </c>
      <c r="D742" t="s">
        <v>30</v>
      </c>
      <c r="E742">
        <v>65</v>
      </c>
      <c r="F742" t="s">
        <v>35</v>
      </c>
      <c r="G742" t="s">
        <v>88</v>
      </c>
      <c r="H742" t="s">
        <v>89</v>
      </c>
      <c r="I742" t="s">
        <v>62</v>
      </c>
      <c r="J742">
        <v>14</v>
      </c>
      <c r="K742" s="1">
        <v>45874</v>
      </c>
      <c r="L742" s="1">
        <v>45878</v>
      </c>
      <c r="M742" t="s">
        <v>77</v>
      </c>
      <c r="N742" t="s">
        <v>26</v>
      </c>
      <c r="O742">
        <v>83404.67</v>
      </c>
      <c r="P742">
        <v>64221.599999999999</v>
      </c>
      <c r="Q742">
        <v>19183.07</v>
      </c>
      <c r="R742" t="s">
        <v>27</v>
      </c>
      <c r="S742">
        <f t="shared" si="33"/>
        <v>4</v>
      </c>
      <c r="T742" s="2">
        <f t="shared" si="34"/>
        <v>0.77000004915791886</v>
      </c>
      <c r="U742" s="2">
        <f t="shared" si="35"/>
        <v>0.22999995084208114</v>
      </c>
    </row>
    <row r="743" spans="1:21" x14ac:dyDescent="0.3">
      <c r="A743">
        <v>10742</v>
      </c>
      <c r="B743" t="s">
        <v>131</v>
      </c>
      <c r="C743" t="s">
        <v>132</v>
      </c>
      <c r="D743" t="s">
        <v>20</v>
      </c>
      <c r="E743">
        <v>68</v>
      </c>
      <c r="F743" t="s">
        <v>31</v>
      </c>
      <c r="G743" t="s">
        <v>70</v>
      </c>
      <c r="H743" t="s">
        <v>71</v>
      </c>
      <c r="I743" t="s">
        <v>43</v>
      </c>
      <c r="J743">
        <v>11</v>
      </c>
      <c r="K743" s="1">
        <v>45856</v>
      </c>
      <c r="L743" s="1">
        <v>45858</v>
      </c>
      <c r="M743" t="s">
        <v>44</v>
      </c>
      <c r="N743" t="s">
        <v>26</v>
      </c>
      <c r="O743">
        <v>34323.94</v>
      </c>
      <c r="P743">
        <v>21280.84</v>
      </c>
      <c r="Q743">
        <v>13043.1</v>
      </c>
      <c r="R743" t="s">
        <v>27</v>
      </c>
      <c r="S743">
        <f t="shared" si="33"/>
        <v>2</v>
      </c>
      <c r="T743" s="2">
        <f t="shared" si="34"/>
        <v>0.61999991842428337</v>
      </c>
      <c r="U743" s="2">
        <f t="shared" si="35"/>
        <v>0.38000008157571652</v>
      </c>
    </row>
    <row r="744" spans="1:21" x14ac:dyDescent="0.3">
      <c r="A744">
        <v>10743</v>
      </c>
      <c r="B744" t="s">
        <v>108</v>
      </c>
      <c r="C744" t="s">
        <v>109</v>
      </c>
      <c r="D744" t="s">
        <v>20</v>
      </c>
      <c r="E744">
        <v>34</v>
      </c>
      <c r="F744" t="s">
        <v>40</v>
      </c>
      <c r="G744" t="s">
        <v>47</v>
      </c>
      <c r="H744" t="s">
        <v>48</v>
      </c>
      <c r="I744" t="s">
        <v>49</v>
      </c>
      <c r="J744">
        <v>8</v>
      </c>
      <c r="K744" s="1">
        <v>45770</v>
      </c>
      <c r="L744" s="1">
        <v>45781</v>
      </c>
      <c r="M744" t="s">
        <v>101</v>
      </c>
      <c r="N744" t="s">
        <v>26</v>
      </c>
      <c r="O744">
        <v>61951.69</v>
      </c>
      <c r="P744">
        <v>45224.73</v>
      </c>
      <c r="Q744">
        <v>16726.96</v>
      </c>
      <c r="R744" t="s">
        <v>32</v>
      </c>
      <c r="S744">
        <f t="shared" si="33"/>
        <v>11</v>
      </c>
      <c r="T744" s="2">
        <f t="shared" si="34"/>
        <v>0.7299999402760442</v>
      </c>
      <c r="U744" s="2">
        <f t="shared" si="35"/>
        <v>0.27000005972395585</v>
      </c>
    </row>
    <row r="745" spans="1:21" x14ac:dyDescent="0.3">
      <c r="A745">
        <v>10744</v>
      </c>
      <c r="B745" t="s">
        <v>113</v>
      </c>
      <c r="C745" t="s">
        <v>114</v>
      </c>
      <c r="D745" t="s">
        <v>30</v>
      </c>
      <c r="E745">
        <v>33</v>
      </c>
      <c r="F745" t="s">
        <v>59</v>
      </c>
      <c r="G745" t="s">
        <v>88</v>
      </c>
      <c r="H745" t="s">
        <v>89</v>
      </c>
      <c r="I745" t="s">
        <v>62</v>
      </c>
      <c r="J745">
        <v>14</v>
      </c>
      <c r="K745" s="1">
        <v>46002</v>
      </c>
      <c r="L745" s="1">
        <v>46011</v>
      </c>
      <c r="M745" t="s">
        <v>77</v>
      </c>
      <c r="N745" t="s">
        <v>26</v>
      </c>
      <c r="O745">
        <v>66874.66</v>
      </c>
      <c r="P745">
        <v>54168.47</v>
      </c>
      <c r="Q745">
        <v>12706.19</v>
      </c>
      <c r="R745" t="s">
        <v>32</v>
      </c>
      <c r="S745">
        <f t="shared" si="33"/>
        <v>9</v>
      </c>
      <c r="T745" s="2">
        <f t="shared" si="34"/>
        <v>0.80999993121460356</v>
      </c>
      <c r="U745" s="2">
        <f t="shared" si="35"/>
        <v>0.19000006878539644</v>
      </c>
    </row>
    <row r="746" spans="1:21" x14ac:dyDescent="0.3">
      <c r="A746">
        <v>10745</v>
      </c>
      <c r="B746" t="s">
        <v>38</v>
      </c>
      <c r="C746" t="s">
        <v>39</v>
      </c>
      <c r="D746" t="s">
        <v>30</v>
      </c>
      <c r="E746">
        <v>62</v>
      </c>
      <c r="F746" t="s">
        <v>40</v>
      </c>
      <c r="G746" t="s">
        <v>41</v>
      </c>
      <c r="H746" t="s">
        <v>42</v>
      </c>
      <c r="I746" t="s">
        <v>43</v>
      </c>
      <c r="J746">
        <v>9</v>
      </c>
      <c r="K746" s="1">
        <v>45940</v>
      </c>
      <c r="L746" s="1">
        <v>45944</v>
      </c>
      <c r="M746" t="s">
        <v>72</v>
      </c>
      <c r="N746" t="s">
        <v>26</v>
      </c>
      <c r="O746">
        <v>22641.43</v>
      </c>
      <c r="P746">
        <v>18339.560000000001</v>
      </c>
      <c r="Q746">
        <v>4301.87</v>
      </c>
      <c r="R746" t="s">
        <v>27</v>
      </c>
      <c r="S746">
        <f t="shared" si="33"/>
        <v>4</v>
      </c>
      <c r="T746" s="2">
        <f t="shared" si="34"/>
        <v>0.81000007508359684</v>
      </c>
      <c r="U746" s="2">
        <f t="shared" si="35"/>
        <v>0.18999992491640325</v>
      </c>
    </row>
    <row r="747" spans="1:21" x14ac:dyDescent="0.3">
      <c r="A747">
        <v>10746</v>
      </c>
      <c r="B747" t="s">
        <v>82</v>
      </c>
      <c r="C747" t="s">
        <v>83</v>
      </c>
      <c r="D747" t="s">
        <v>20</v>
      </c>
      <c r="E747">
        <v>74</v>
      </c>
      <c r="F747" t="s">
        <v>84</v>
      </c>
      <c r="G747" t="s">
        <v>47</v>
      </c>
      <c r="H747" t="s">
        <v>48</v>
      </c>
      <c r="I747" t="s">
        <v>49</v>
      </c>
      <c r="J747">
        <v>8</v>
      </c>
      <c r="K747" s="1">
        <v>45989</v>
      </c>
      <c r="L747" s="1">
        <v>45997</v>
      </c>
      <c r="M747" t="s">
        <v>85</v>
      </c>
      <c r="N747" t="s">
        <v>26</v>
      </c>
      <c r="O747">
        <v>138884.65</v>
      </c>
      <c r="P747">
        <v>101385.79</v>
      </c>
      <c r="Q747">
        <v>37498.86</v>
      </c>
      <c r="R747" t="s">
        <v>32</v>
      </c>
      <c r="S747">
        <f t="shared" si="33"/>
        <v>8</v>
      </c>
      <c r="T747" s="2">
        <f t="shared" si="34"/>
        <v>0.72999996759901109</v>
      </c>
      <c r="U747" s="2">
        <f t="shared" si="35"/>
        <v>0.27000003240098891</v>
      </c>
    </row>
    <row r="748" spans="1:21" x14ac:dyDescent="0.3">
      <c r="A748">
        <v>10747</v>
      </c>
      <c r="B748" t="s">
        <v>110</v>
      </c>
      <c r="C748" t="s">
        <v>111</v>
      </c>
      <c r="D748" t="s">
        <v>20</v>
      </c>
      <c r="E748">
        <v>44</v>
      </c>
      <c r="F748" t="s">
        <v>35</v>
      </c>
      <c r="G748" t="s">
        <v>60</v>
      </c>
      <c r="H748" t="s">
        <v>61</v>
      </c>
      <c r="I748" t="s">
        <v>62</v>
      </c>
      <c r="J748">
        <v>18</v>
      </c>
      <c r="K748" s="1">
        <v>45765</v>
      </c>
      <c r="L748" s="1">
        <v>45772</v>
      </c>
      <c r="M748" t="s">
        <v>96</v>
      </c>
      <c r="N748" t="s">
        <v>26</v>
      </c>
      <c r="O748">
        <v>132228.95000000001</v>
      </c>
      <c r="P748">
        <v>87271.11</v>
      </c>
      <c r="Q748">
        <v>44957.84</v>
      </c>
      <c r="R748" t="s">
        <v>32</v>
      </c>
      <c r="S748">
        <f t="shared" si="33"/>
        <v>7</v>
      </c>
      <c r="T748" s="2">
        <f t="shared" si="34"/>
        <v>0.66000002268792113</v>
      </c>
      <c r="U748" s="2">
        <f t="shared" si="35"/>
        <v>0.3399999773120787</v>
      </c>
    </row>
    <row r="749" spans="1:21" x14ac:dyDescent="0.3">
      <c r="A749">
        <v>10748</v>
      </c>
      <c r="B749" t="s">
        <v>80</v>
      </c>
      <c r="C749" t="s">
        <v>81</v>
      </c>
      <c r="D749" t="s">
        <v>20</v>
      </c>
      <c r="E749">
        <v>65</v>
      </c>
      <c r="F749" t="s">
        <v>40</v>
      </c>
      <c r="G749" t="s">
        <v>55</v>
      </c>
      <c r="H749" t="s">
        <v>56</v>
      </c>
      <c r="I749" t="s">
        <v>49</v>
      </c>
      <c r="J749">
        <v>10</v>
      </c>
      <c r="K749" s="1">
        <v>45899</v>
      </c>
      <c r="L749" s="1">
        <v>45903</v>
      </c>
      <c r="M749" t="s">
        <v>50</v>
      </c>
      <c r="N749" t="s">
        <v>26</v>
      </c>
      <c r="O749">
        <v>177462.81</v>
      </c>
      <c r="P749">
        <v>150843.39000000001</v>
      </c>
      <c r="Q749">
        <v>26619.42</v>
      </c>
      <c r="R749" t="s">
        <v>32</v>
      </c>
      <c r="S749">
        <f t="shared" si="33"/>
        <v>4</v>
      </c>
      <c r="T749" s="2">
        <f t="shared" si="34"/>
        <v>0.85000000845247525</v>
      </c>
      <c r="U749" s="2">
        <f t="shared" si="35"/>
        <v>0.1499999915475248</v>
      </c>
    </row>
    <row r="750" spans="1:21" x14ac:dyDescent="0.3">
      <c r="A750">
        <v>10749</v>
      </c>
      <c r="B750" t="s">
        <v>110</v>
      </c>
      <c r="C750" t="s">
        <v>111</v>
      </c>
      <c r="D750" t="s">
        <v>20</v>
      </c>
      <c r="E750">
        <v>44</v>
      </c>
      <c r="F750" t="s">
        <v>35</v>
      </c>
      <c r="G750" t="s">
        <v>70</v>
      </c>
      <c r="H750" t="s">
        <v>71</v>
      </c>
      <c r="I750" t="s">
        <v>43</v>
      </c>
      <c r="J750">
        <v>11</v>
      </c>
      <c r="K750" s="1">
        <v>45989</v>
      </c>
      <c r="L750" s="1">
        <v>45997</v>
      </c>
      <c r="M750" t="s">
        <v>44</v>
      </c>
      <c r="N750" t="s">
        <v>51</v>
      </c>
      <c r="O750">
        <v>21671.74</v>
      </c>
      <c r="P750">
        <v>13219.76</v>
      </c>
      <c r="Q750">
        <v>8451.98</v>
      </c>
      <c r="R750" t="s">
        <v>32</v>
      </c>
      <c r="S750">
        <f t="shared" si="33"/>
        <v>8</v>
      </c>
      <c r="T750" s="2">
        <f t="shared" si="34"/>
        <v>0.60999993539974173</v>
      </c>
      <c r="U750" s="2">
        <f t="shared" si="35"/>
        <v>0.39000006460025816</v>
      </c>
    </row>
    <row r="751" spans="1:21" x14ac:dyDescent="0.3">
      <c r="A751">
        <v>10750</v>
      </c>
      <c r="B751" t="s">
        <v>106</v>
      </c>
      <c r="C751" t="s">
        <v>107</v>
      </c>
      <c r="D751" t="s">
        <v>30</v>
      </c>
      <c r="E751">
        <v>37</v>
      </c>
      <c r="F751" t="s">
        <v>31</v>
      </c>
      <c r="G751" t="s">
        <v>36</v>
      </c>
      <c r="H751" t="s">
        <v>37</v>
      </c>
      <c r="I751" t="s">
        <v>24</v>
      </c>
      <c r="J751">
        <v>12</v>
      </c>
      <c r="K751" s="1">
        <v>45884</v>
      </c>
      <c r="L751" s="1">
        <v>45891</v>
      </c>
      <c r="M751" t="s">
        <v>76</v>
      </c>
      <c r="N751" t="s">
        <v>26</v>
      </c>
      <c r="O751">
        <v>135652.71</v>
      </c>
      <c r="P751">
        <v>96313.42</v>
      </c>
      <c r="Q751">
        <v>39339.29</v>
      </c>
      <c r="R751" t="s">
        <v>32</v>
      </c>
      <c r="S751">
        <f t="shared" si="33"/>
        <v>7</v>
      </c>
      <c r="T751" s="2">
        <f t="shared" si="34"/>
        <v>0.70999996977576052</v>
      </c>
      <c r="U751" s="2">
        <f t="shared" si="35"/>
        <v>0.29000003022423954</v>
      </c>
    </row>
    <row r="752" spans="1:21" x14ac:dyDescent="0.3">
      <c r="A752">
        <v>10751</v>
      </c>
      <c r="B752" t="s">
        <v>135</v>
      </c>
      <c r="C752" t="s">
        <v>136</v>
      </c>
      <c r="D752" t="s">
        <v>30</v>
      </c>
      <c r="E752">
        <v>52</v>
      </c>
      <c r="F752" t="s">
        <v>35</v>
      </c>
      <c r="G752" t="s">
        <v>47</v>
      </c>
      <c r="H752" t="s">
        <v>48</v>
      </c>
      <c r="I752" t="s">
        <v>49</v>
      </c>
      <c r="J752">
        <v>8</v>
      </c>
      <c r="K752" s="1">
        <v>45660</v>
      </c>
      <c r="L752" s="1">
        <v>45662</v>
      </c>
      <c r="M752" t="s">
        <v>50</v>
      </c>
      <c r="N752" t="s">
        <v>51</v>
      </c>
      <c r="O752">
        <v>264994.78000000003</v>
      </c>
      <c r="P752">
        <v>193446.19</v>
      </c>
      <c r="Q752">
        <v>71548.59</v>
      </c>
      <c r="R752" t="s">
        <v>32</v>
      </c>
      <c r="S752">
        <f t="shared" si="33"/>
        <v>2</v>
      </c>
      <c r="T752" s="2">
        <f t="shared" si="34"/>
        <v>0.73000000226419548</v>
      </c>
      <c r="U752" s="2">
        <f t="shared" si="35"/>
        <v>0.26999999773580441</v>
      </c>
    </row>
    <row r="753" spans="1:21" x14ac:dyDescent="0.3">
      <c r="A753">
        <v>10752</v>
      </c>
      <c r="B753" t="s">
        <v>28</v>
      </c>
      <c r="C753" t="s">
        <v>29</v>
      </c>
      <c r="D753" t="s">
        <v>30</v>
      </c>
      <c r="E753">
        <v>60</v>
      </c>
      <c r="F753" t="s">
        <v>31</v>
      </c>
      <c r="G753" t="s">
        <v>22</v>
      </c>
      <c r="H753" t="s">
        <v>23</v>
      </c>
      <c r="I753" t="s">
        <v>24</v>
      </c>
      <c r="J753">
        <v>15</v>
      </c>
      <c r="K753" s="1">
        <v>45889</v>
      </c>
      <c r="L753" s="1">
        <v>45894</v>
      </c>
      <c r="M753" t="s">
        <v>76</v>
      </c>
      <c r="N753" t="s">
        <v>51</v>
      </c>
      <c r="O753">
        <v>272732.46999999997</v>
      </c>
      <c r="P753">
        <v>166366.81</v>
      </c>
      <c r="Q753">
        <v>106365.66</v>
      </c>
      <c r="R753" t="s">
        <v>32</v>
      </c>
      <c r="S753">
        <f t="shared" si="33"/>
        <v>5</v>
      </c>
      <c r="T753" s="2">
        <f t="shared" si="34"/>
        <v>0.61000001209976951</v>
      </c>
      <c r="U753" s="2">
        <f t="shared" si="35"/>
        <v>0.38999998790023066</v>
      </c>
    </row>
    <row r="754" spans="1:21" x14ac:dyDescent="0.3">
      <c r="A754">
        <v>10753</v>
      </c>
      <c r="B754" t="s">
        <v>129</v>
      </c>
      <c r="C754" t="s">
        <v>130</v>
      </c>
      <c r="D754" t="s">
        <v>30</v>
      </c>
      <c r="E754">
        <v>28</v>
      </c>
      <c r="F754" t="s">
        <v>35</v>
      </c>
      <c r="G754" t="s">
        <v>70</v>
      </c>
      <c r="H754" t="s">
        <v>71</v>
      </c>
      <c r="I754" t="s">
        <v>43</v>
      </c>
      <c r="J754">
        <v>11</v>
      </c>
      <c r="K754" s="1">
        <v>45938</v>
      </c>
      <c r="L754" s="1">
        <v>45947</v>
      </c>
      <c r="M754" t="s">
        <v>112</v>
      </c>
      <c r="N754" t="s">
        <v>26</v>
      </c>
      <c r="O754">
        <v>61834.95</v>
      </c>
      <c r="P754">
        <v>51323.01</v>
      </c>
      <c r="Q754">
        <v>10511.94</v>
      </c>
      <c r="R754" t="s">
        <v>32</v>
      </c>
      <c r="S754">
        <f t="shared" si="33"/>
        <v>9</v>
      </c>
      <c r="T754" s="2">
        <f t="shared" si="34"/>
        <v>0.83000002425812591</v>
      </c>
      <c r="U754" s="2">
        <f t="shared" si="35"/>
        <v>0.16999997574187414</v>
      </c>
    </row>
    <row r="755" spans="1:21" x14ac:dyDescent="0.3">
      <c r="A755">
        <v>10754</v>
      </c>
      <c r="B755" t="s">
        <v>121</v>
      </c>
      <c r="C755" t="s">
        <v>122</v>
      </c>
      <c r="D755" t="s">
        <v>20</v>
      </c>
      <c r="E755">
        <v>23</v>
      </c>
      <c r="F755" t="s">
        <v>59</v>
      </c>
      <c r="G755" t="s">
        <v>55</v>
      </c>
      <c r="H755" t="s">
        <v>56</v>
      </c>
      <c r="I755" t="s">
        <v>49</v>
      </c>
      <c r="J755">
        <v>10</v>
      </c>
      <c r="K755" s="1">
        <v>45853</v>
      </c>
      <c r="L755" s="1">
        <v>45866</v>
      </c>
      <c r="M755" t="s">
        <v>85</v>
      </c>
      <c r="N755" t="s">
        <v>26</v>
      </c>
      <c r="O755">
        <v>68118.080000000002</v>
      </c>
      <c r="P755">
        <v>41552.03</v>
      </c>
      <c r="Q755">
        <v>26566.05</v>
      </c>
      <c r="R755" t="s">
        <v>32</v>
      </c>
      <c r="S755">
        <f t="shared" si="33"/>
        <v>13</v>
      </c>
      <c r="T755" s="2">
        <f t="shared" si="34"/>
        <v>0.61000001761646827</v>
      </c>
      <c r="U755" s="2">
        <f t="shared" si="35"/>
        <v>0.38999998238353162</v>
      </c>
    </row>
    <row r="756" spans="1:21" x14ac:dyDescent="0.3">
      <c r="A756">
        <v>10755</v>
      </c>
      <c r="B756" t="s">
        <v>143</v>
      </c>
      <c r="C756" t="s">
        <v>74</v>
      </c>
      <c r="D756" t="s">
        <v>20</v>
      </c>
      <c r="E756">
        <v>35</v>
      </c>
      <c r="F756" t="s">
        <v>119</v>
      </c>
      <c r="G756" t="s">
        <v>41</v>
      </c>
      <c r="H756" t="s">
        <v>42</v>
      </c>
      <c r="I756" t="s">
        <v>43</v>
      </c>
      <c r="J756">
        <v>9</v>
      </c>
      <c r="K756" s="1">
        <v>45844</v>
      </c>
      <c r="L756" s="1">
        <v>45847</v>
      </c>
      <c r="M756" t="s">
        <v>112</v>
      </c>
      <c r="N756" t="s">
        <v>26</v>
      </c>
      <c r="O756">
        <v>65655.759999999995</v>
      </c>
      <c r="P756">
        <v>48585.26</v>
      </c>
      <c r="Q756">
        <v>17070.5</v>
      </c>
      <c r="R756" t="s">
        <v>32</v>
      </c>
      <c r="S756">
        <f t="shared" si="33"/>
        <v>3</v>
      </c>
      <c r="T756" s="2">
        <f t="shared" si="34"/>
        <v>0.7399999634457054</v>
      </c>
      <c r="U756" s="2">
        <f t="shared" si="35"/>
        <v>0.26000003655429471</v>
      </c>
    </row>
    <row r="757" spans="1:21" x14ac:dyDescent="0.3">
      <c r="A757">
        <v>10756</v>
      </c>
      <c r="B757" t="s">
        <v>127</v>
      </c>
      <c r="C757" t="s">
        <v>128</v>
      </c>
      <c r="D757" t="s">
        <v>20</v>
      </c>
      <c r="E757">
        <v>41</v>
      </c>
      <c r="F757" t="s">
        <v>54</v>
      </c>
      <c r="G757" t="s">
        <v>47</v>
      </c>
      <c r="H757" t="s">
        <v>48</v>
      </c>
      <c r="I757" t="s">
        <v>49</v>
      </c>
      <c r="J757">
        <v>8</v>
      </c>
      <c r="K757" s="1">
        <v>45900</v>
      </c>
      <c r="L757" s="1">
        <v>45913</v>
      </c>
      <c r="M757" t="s">
        <v>50</v>
      </c>
      <c r="N757" t="s">
        <v>26</v>
      </c>
      <c r="O757">
        <v>357890.73</v>
      </c>
      <c r="P757">
        <v>257681.33</v>
      </c>
      <c r="Q757">
        <v>100209.4</v>
      </c>
      <c r="R757" t="s">
        <v>27</v>
      </c>
      <c r="S757">
        <f t="shared" si="33"/>
        <v>13</v>
      </c>
      <c r="T757" s="2">
        <f t="shared" si="34"/>
        <v>0.72000001229425525</v>
      </c>
      <c r="U757" s="2">
        <f t="shared" si="35"/>
        <v>0.27999998770574469</v>
      </c>
    </row>
    <row r="758" spans="1:21" x14ac:dyDescent="0.3">
      <c r="A758">
        <v>10757</v>
      </c>
      <c r="B758" t="s">
        <v>133</v>
      </c>
      <c r="C758" t="s">
        <v>134</v>
      </c>
      <c r="D758" t="s">
        <v>20</v>
      </c>
      <c r="E758">
        <v>56</v>
      </c>
      <c r="F758" t="s">
        <v>40</v>
      </c>
      <c r="G758" t="s">
        <v>47</v>
      </c>
      <c r="H758" t="s">
        <v>48</v>
      </c>
      <c r="I758" t="s">
        <v>49</v>
      </c>
      <c r="J758">
        <v>8</v>
      </c>
      <c r="K758" s="1">
        <v>45978</v>
      </c>
      <c r="L758" s="1">
        <v>45986</v>
      </c>
      <c r="M758" t="s">
        <v>101</v>
      </c>
      <c r="N758" t="s">
        <v>26</v>
      </c>
      <c r="O758">
        <v>29804.880000000001</v>
      </c>
      <c r="P758">
        <v>20863.419999999998</v>
      </c>
      <c r="Q758">
        <v>8941.4599999999991</v>
      </c>
      <c r="R758" t="s">
        <v>32</v>
      </c>
      <c r="S758">
        <f t="shared" si="33"/>
        <v>8</v>
      </c>
      <c r="T758" s="2">
        <f t="shared" si="34"/>
        <v>0.70000013420621043</v>
      </c>
      <c r="U758" s="2">
        <f t="shared" si="35"/>
        <v>0.29999986579378946</v>
      </c>
    </row>
    <row r="759" spans="1:21" x14ac:dyDescent="0.3">
      <c r="A759">
        <v>10758</v>
      </c>
      <c r="B759" t="s">
        <v>131</v>
      </c>
      <c r="C759" t="s">
        <v>132</v>
      </c>
      <c r="D759" t="s">
        <v>20</v>
      </c>
      <c r="E759">
        <v>68</v>
      </c>
      <c r="F759" t="s">
        <v>31</v>
      </c>
      <c r="G759" t="s">
        <v>41</v>
      </c>
      <c r="H759" t="s">
        <v>42</v>
      </c>
      <c r="I759" t="s">
        <v>43</v>
      </c>
      <c r="J759">
        <v>9</v>
      </c>
      <c r="K759" s="1">
        <v>45881</v>
      </c>
      <c r="L759" s="1">
        <v>45893</v>
      </c>
      <c r="M759" t="s">
        <v>44</v>
      </c>
      <c r="N759" t="s">
        <v>26</v>
      </c>
      <c r="O759">
        <v>25477.06</v>
      </c>
      <c r="P759">
        <v>15795.78</v>
      </c>
      <c r="Q759">
        <v>9681.2800000000007</v>
      </c>
      <c r="R759" t="s">
        <v>27</v>
      </c>
      <c r="S759">
        <f t="shared" si="33"/>
        <v>12</v>
      </c>
      <c r="T759" s="2">
        <f t="shared" si="34"/>
        <v>0.62000010990279097</v>
      </c>
      <c r="U759" s="2">
        <f t="shared" si="35"/>
        <v>0.37999989009720903</v>
      </c>
    </row>
    <row r="760" spans="1:21" x14ac:dyDescent="0.3">
      <c r="A760">
        <v>10759</v>
      </c>
      <c r="B760" t="s">
        <v>102</v>
      </c>
      <c r="C760" t="s">
        <v>103</v>
      </c>
      <c r="D760" t="s">
        <v>30</v>
      </c>
      <c r="E760">
        <v>59</v>
      </c>
      <c r="F760" t="s">
        <v>75</v>
      </c>
      <c r="G760" t="s">
        <v>60</v>
      </c>
      <c r="H760" t="s">
        <v>61</v>
      </c>
      <c r="I760" t="s">
        <v>62</v>
      </c>
      <c r="J760">
        <v>18</v>
      </c>
      <c r="K760" s="1">
        <v>45706</v>
      </c>
      <c r="L760" s="1">
        <v>45719</v>
      </c>
      <c r="M760" t="s">
        <v>96</v>
      </c>
      <c r="N760" t="s">
        <v>26</v>
      </c>
      <c r="O760">
        <v>264034.89</v>
      </c>
      <c r="P760">
        <v>179543.73</v>
      </c>
      <c r="Q760">
        <v>84491.16</v>
      </c>
      <c r="R760" t="s">
        <v>27</v>
      </c>
      <c r="S760">
        <f t="shared" si="33"/>
        <v>13</v>
      </c>
      <c r="T760" s="2">
        <f t="shared" si="34"/>
        <v>0.68000001817941558</v>
      </c>
      <c r="U760" s="2">
        <f t="shared" si="35"/>
        <v>0.31999998182058437</v>
      </c>
    </row>
    <row r="761" spans="1:21" x14ac:dyDescent="0.3">
      <c r="A761">
        <v>10760</v>
      </c>
      <c r="B761" t="s">
        <v>121</v>
      </c>
      <c r="C761" t="s">
        <v>122</v>
      </c>
      <c r="D761" t="s">
        <v>20</v>
      </c>
      <c r="E761">
        <v>23</v>
      </c>
      <c r="F761" t="s">
        <v>59</v>
      </c>
      <c r="G761" t="s">
        <v>70</v>
      </c>
      <c r="H761" t="s">
        <v>71</v>
      </c>
      <c r="I761" t="s">
        <v>43</v>
      </c>
      <c r="J761">
        <v>11</v>
      </c>
      <c r="K761" s="1">
        <v>45758</v>
      </c>
      <c r="L761" s="1">
        <v>45769</v>
      </c>
      <c r="M761" t="s">
        <v>112</v>
      </c>
      <c r="N761" t="s">
        <v>51</v>
      </c>
      <c r="O761">
        <v>70898.45</v>
      </c>
      <c r="P761">
        <v>46792.98</v>
      </c>
      <c r="Q761">
        <v>24105.47</v>
      </c>
      <c r="R761" t="s">
        <v>27</v>
      </c>
      <c r="S761">
        <f t="shared" si="33"/>
        <v>11</v>
      </c>
      <c r="T761" s="2">
        <f t="shared" si="34"/>
        <v>0.66000004231404219</v>
      </c>
      <c r="U761" s="2">
        <f t="shared" si="35"/>
        <v>0.33999995768595792</v>
      </c>
    </row>
    <row r="762" spans="1:21" x14ac:dyDescent="0.3">
      <c r="A762">
        <v>10761</v>
      </c>
      <c r="B762" t="s">
        <v>120</v>
      </c>
      <c r="C762" t="s">
        <v>74</v>
      </c>
      <c r="D762" t="s">
        <v>20</v>
      </c>
      <c r="E762">
        <v>61</v>
      </c>
      <c r="F762" t="s">
        <v>69</v>
      </c>
      <c r="G762" t="s">
        <v>22</v>
      </c>
      <c r="H762" t="s">
        <v>23</v>
      </c>
      <c r="I762" t="s">
        <v>24</v>
      </c>
      <c r="J762">
        <v>15</v>
      </c>
      <c r="K762" s="1">
        <v>45703</v>
      </c>
      <c r="L762" s="1">
        <v>45716</v>
      </c>
      <c r="M762" t="s">
        <v>76</v>
      </c>
      <c r="N762" t="s">
        <v>26</v>
      </c>
      <c r="O762">
        <v>400935.33</v>
      </c>
      <c r="P762">
        <v>276645.38</v>
      </c>
      <c r="Q762">
        <v>124289.95</v>
      </c>
      <c r="R762" t="s">
        <v>32</v>
      </c>
      <c r="S762">
        <f t="shared" si="33"/>
        <v>13</v>
      </c>
      <c r="T762" s="2">
        <f t="shared" si="34"/>
        <v>0.69000000573658593</v>
      </c>
      <c r="U762" s="2">
        <f t="shared" si="35"/>
        <v>0.30999999426341396</v>
      </c>
    </row>
    <row r="763" spans="1:21" x14ac:dyDescent="0.3">
      <c r="A763">
        <v>10762</v>
      </c>
      <c r="B763" t="s">
        <v>110</v>
      </c>
      <c r="C763" t="s">
        <v>111</v>
      </c>
      <c r="D763" t="s">
        <v>20</v>
      </c>
      <c r="E763">
        <v>44</v>
      </c>
      <c r="F763" t="s">
        <v>35</v>
      </c>
      <c r="G763" t="s">
        <v>88</v>
      </c>
      <c r="H763" t="s">
        <v>89</v>
      </c>
      <c r="I763" t="s">
        <v>62</v>
      </c>
      <c r="J763">
        <v>14</v>
      </c>
      <c r="K763" s="1">
        <v>45997</v>
      </c>
      <c r="L763" s="1">
        <v>46011</v>
      </c>
      <c r="M763" t="s">
        <v>63</v>
      </c>
      <c r="N763" t="s">
        <v>26</v>
      </c>
      <c r="O763">
        <v>40132.980000000003</v>
      </c>
      <c r="P763">
        <v>30501.06</v>
      </c>
      <c r="Q763">
        <v>9631.92</v>
      </c>
      <c r="R763" t="s">
        <v>32</v>
      </c>
      <c r="S763">
        <f t="shared" si="33"/>
        <v>14</v>
      </c>
      <c r="T763" s="2">
        <f t="shared" si="34"/>
        <v>0.75999988039761812</v>
      </c>
      <c r="U763" s="2">
        <f t="shared" si="35"/>
        <v>0.24000011960238185</v>
      </c>
    </row>
    <row r="764" spans="1:21" x14ac:dyDescent="0.3">
      <c r="A764">
        <v>10763</v>
      </c>
      <c r="B764" t="s">
        <v>80</v>
      </c>
      <c r="C764" t="s">
        <v>81</v>
      </c>
      <c r="D764" t="s">
        <v>20</v>
      </c>
      <c r="E764">
        <v>65</v>
      </c>
      <c r="F764" t="s">
        <v>40</v>
      </c>
      <c r="G764" t="s">
        <v>22</v>
      </c>
      <c r="H764" t="s">
        <v>23</v>
      </c>
      <c r="I764" t="s">
        <v>24</v>
      </c>
      <c r="J764">
        <v>15</v>
      </c>
      <c r="K764" s="1">
        <v>45736</v>
      </c>
      <c r="L764" s="1">
        <v>45750</v>
      </c>
      <c r="M764" t="s">
        <v>66</v>
      </c>
      <c r="N764" t="s">
        <v>26</v>
      </c>
      <c r="O764">
        <v>56673.760000000002</v>
      </c>
      <c r="P764">
        <v>35704.47</v>
      </c>
      <c r="Q764">
        <v>20969.29</v>
      </c>
      <c r="R764" t="s">
        <v>32</v>
      </c>
      <c r="S764">
        <f t="shared" si="33"/>
        <v>14</v>
      </c>
      <c r="T764" s="2">
        <f t="shared" si="34"/>
        <v>0.63000002117382015</v>
      </c>
      <c r="U764" s="2">
        <f t="shared" si="35"/>
        <v>0.36999997882617985</v>
      </c>
    </row>
    <row r="765" spans="1:21" x14ac:dyDescent="0.3">
      <c r="A765">
        <v>10764</v>
      </c>
      <c r="B765" t="s">
        <v>82</v>
      </c>
      <c r="C765" t="s">
        <v>83</v>
      </c>
      <c r="D765" t="s">
        <v>20</v>
      </c>
      <c r="E765">
        <v>74</v>
      </c>
      <c r="F765" t="s">
        <v>84</v>
      </c>
      <c r="G765" t="s">
        <v>88</v>
      </c>
      <c r="H765" t="s">
        <v>89</v>
      </c>
      <c r="I765" t="s">
        <v>62</v>
      </c>
      <c r="J765">
        <v>14</v>
      </c>
      <c r="K765" s="1">
        <v>45979</v>
      </c>
      <c r="L765" s="1">
        <v>45990</v>
      </c>
      <c r="M765" t="s">
        <v>77</v>
      </c>
      <c r="N765" t="s">
        <v>26</v>
      </c>
      <c r="O765">
        <v>41176.730000000003</v>
      </c>
      <c r="P765">
        <v>29235.48</v>
      </c>
      <c r="Q765">
        <v>11941.25</v>
      </c>
      <c r="R765" t="s">
        <v>32</v>
      </c>
      <c r="S765">
        <f t="shared" si="33"/>
        <v>11</v>
      </c>
      <c r="T765" s="2">
        <f t="shared" si="34"/>
        <v>0.71000004128545413</v>
      </c>
      <c r="U765" s="2">
        <f t="shared" si="35"/>
        <v>0.28999995871454581</v>
      </c>
    </row>
    <row r="766" spans="1:21" x14ac:dyDescent="0.3">
      <c r="A766">
        <v>10765</v>
      </c>
      <c r="B766" t="s">
        <v>80</v>
      </c>
      <c r="C766" t="s">
        <v>81</v>
      </c>
      <c r="D766" t="s">
        <v>20</v>
      </c>
      <c r="E766">
        <v>65</v>
      </c>
      <c r="F766" t="s">
        <v>40</v>
      </c>
      <c r="G766" t="s">
        <v>60</v>
      </c>
      <c r="H766" t="s">
        <v>61</v>
      </c>
      <c r="I766" t="s">
        <v>62</v>
      </c>
      <c r="J766">
        <v>18</v>
      </c>
      <c r="K766" s="1">
        <v>45840</v>
      </c>
      <c r="L766" s="1">
        <v>45845</v>
      </c>
      <c r="M766" t="s">
        <v>77</v>
      </c>
      <c r="N766" t="s">
        <v>26</v>
      </c>
      <c r="O766">
        <v>66826.42</v>
      </c>
      <c r="P766">
        <v>53461.14</v>
      </c>
      <c r="Q766">
        <v>13365.28</v>
      </c>
      <c r="R766" t="s">
        <v>32</v>
      </c>
      <c r="S766">
        <f t="shared" si="33"/>
        <v>5</v>
      </c>
      <c r="T766" s="2">
        <f t="shared" si="34"/>
        <v>0.80000005985656575</v>
      </c>
      <c r="U766" s="2">
        <f t="shared" si="35"/>
        <v>0.19999994014343431</v>
      </c>
    </row>
    <row r="767" spans="1:21" x14ac:dyDescent="0.3">
      <c r="A767">
        <v>10766</v>
      </c>
      <c r="B767" t="s">
        <v>146</v>
      </c>
      <c r="C767" t="s">
        <v>147</v>
      </c>
      <c r="D767" t="s">
        <v>30</v>
      </c>
      <c r="E767">
        <v>75</v>
      </c>
      <c r="F767" t="s">
        <v>84</v>
      </c>
      <c r="G767" t="s">
        <v>55</v>
      </c>
      <c r="H767" t="s">
        <v>56</v>
      </c>
      <c r="I767" t="s">
        <v>49</v>
      </c>
      <c r="J767">
        <v>10</v>
      </c>
      <c r="K767" s="1">
        <v>45908</v>
      </c>
      <c r="L767" s="1">
        <v>45914</v>
      </c>
      <c r="M767" t="s">
        <v>101</v>
      </c>
      <c r="N767" t="s">
        <v>26</v>
      </c>
      <c r="O767">
        <v>59403.05</v>
      </c>
      <c r="P767">
        <v>49304.53</v>
      </c>
      <c r="Q767">
        <v>10098.52</v>
      </c>
      <c r="R767" t="s">
        <v>27</v>
      </c>
      <c r="S767">
        <f t="shared" si="33"/>
        <v>6</v>
      </c>
      <c r="T767" s="2">
        <f t="shared" si="34"/>
        <v>0.8299999747487713</v>
      </c>
      <c r="U767" s="2">
        <f t="shared" si="35"/>
        <v>0.17000002525122868</v>
      </c>
    </row>
    <row r="768" spans="1:21" x14ac:dyDescent="0.3">
      <c r="A768">
        <v>10767</v>
      </c>
      <c r="B768" t="s">
        <v>92</v>
      </c>
      <c r="C768" t="s">
        <v>93</v>
      </c>
      <c r="D768" t="s">
        <v>20</v>
      </c>
      <c r="E768">
        <v>40</v>
      </c>
      <c r="F768" t="s">
        <v>54</v>
      </c>
      <c r="G768" t="s">
        <v>55</v>
      </c>
      <c r="H768" t="s">
        <v>56</v>
      </c>
      <c r="I768" t="s">
        <v>49</v>
      </c>
      <c r="J768">
        <v>10</v>
      </c>
      <c r="K768" s="1">
        <v>45678</v>
      </c>
      <c r="L768" s="1">
        <v>45692</v>
      </c>
      <c r="M768" t="s">
        <v>50</v>
      </c>
      <c r="N768" t="s">
        <v>26</v>
      </c>
      <c r="O768">
        <v>365168.2</v>
      </c>
      <c r="P768">
        <v>259269.42</v>
      </c>
      <c r="Q768">
        <v>105898.78</v>
      </c>
      <c r="R768" t="s">
        <v>32</v>
      </c>
      <c r="S768">
        <f t="shared" si="33"/>
        <v>14</v>
      </c>
      <c r="T768" s="2">
        <f t="shared" si="34"/>
        <v>0.70999999452307183</v>
      </c>
      <c r="U768" s="2">
        <f t="shared" si="35"/>
        <v>0.29000000547692817</v>
      </c>
    </row>
    <row r="769" spans="1:21" x14ac:dyDescent="0.3">
      <c r="A769">
        <v>10768</v>
      </c>
      <c r="B769" t="s">
        <v>45</v>
      </c>
      <c r="C769" t="s">
        <v>46</v>
      </c>
      <c r="D769" t="s">
        <v>30</v>
      </c>
      <c r="E769">
        <v>45</v>
      </c>
      <c r="F769" t="s">
        <v>40</v>
      </c>
      <c r="G769" t="s">
        <v>22</v>
      </c>
      <c r="H769" t="s">
        <v>23</v>
      </c>
      <c r="I769" t="s">
        <v>24</v>
      </c>
      <c r="J769">
        <v>15</v>
      </c>
      <c r="K769" s="1">
        <v>45850</v>
      </c>
      <c r="L769" s="1">
        <v>45862</v>
      </c>
      <c r="M769" t="s">
        <v>76</v>
      </c>
      <c r="N769" t="s">
        <v>26</v>
      </c>
      <c r="O769">
        <v>329519.98</v>
      </c>
      <c r="P769">
        <v>250435.18</v>
      </c>
      <c r="Q769">
        <v>79084.800000000003</v>
      </c>
      <c r="R769" t="s">
        <v>32</v>
      </c>
      <c r="S769">
        <f t="shared" si="33"/>
        <v>12</v>
      </c>
      <c r="T769" s="2">
        <f t="shared" si="34"/>
        <v>0.75999998543335678</v>
      </c>
      <c r="U769" s="2">
        <f t="shared" si="35"/>
        <v>0.2400000145666433</v>
      </c>
    </row>
    <row r="770" spans="1:21" x14ac:dyDescent="0.3">
      <c r="A770">
        <v>10769</v>
      </c>
      <c r="B770" t="s">
        <v>156</v>
      </c>
      <c r="C770" t="s">
        <v>157</v>
      </c>
      <c r="D770" t="s">
        <v>30</v>
      </c>
      <c r="E770">
        <v>47</v>
      </c>
      <c r="F770" t="s">
        <v>40</v>
      </c>
      <c r="G770" t="s">
        <v>22</v>
      </c>
      <c r="H770" t="s">
        <v>23</v>
      </c>
      <c r="I770" t="s">
        <v>24</v>
      </c>
      <c r="J770">
        <v>15</v>
      </c>
      <c r="K770" s="1">
        <v>45738</v>
      </c>
      <c r="L770" s="1">
        <v>45752</v>
      </c>
      <c r="M770" t="s">
        <v>76</v>
      </c>
      <c r="N770" t="s">
        <v>26</v>
      </c>
      <c r="O770">
        <v>202301.73</v>
      </c>
      <c r="P770">
        <v>129473.11</v>
      </c>
      <c r="Q770">
        <v>72828.62</v>
      </c>
      <c r="R770" t="s">
        <v>32</v>
      </c>
      <c r="S770">
        <f t="shared" si="33"/>
        <v>14</v>
      </c>
      <c r="T770" s="2">
        <f t="shared" si="34"/>
        <v>0.64000001384071203</v>
      </c>
      <c r="U770" s="2">
        <f t="shared" si="35"/>
        <v>0.35999998615928785</v>
      </c>
    </row>
    <row r="771" spans="1:21" x14ac:dyDescent="0.3">
      <c r="A771">
        <v>10770</v>
      </c>
      <c r="B771" t="s">
        <v>115</v>
      </c>
      <c r="C771" t="s">
        <v>116</v>
      </c>
      <c r="D771" t="s">
        <v>30</v>
      </c>
      <c r="E771">
        <v>18</v>
      </c>
      <c r="F771" t="s">
        <v>31</v>
      </c>
      <c r="G771" t="s">
        <v>22</v>
      </c>
      <c r="H771" t="s">
        <v>23</v>
      </c>
      <c r="I771" t="s">
        <v>24</v>
      </c>
      <c r="J771">
        <v>15</v>
      </c>
      <c r="K771" s="1">
        <v>45837</v>
      </c>
      <c r="L771" s="1">
        <v>45840</v>
      </c>
      <c r="M771" t="s">
        <v>66</v>
      </c>
      <c r="N771" t="s">
        <v>51</v>
      </c>
      <c r="O771">
        <v>28362.67</v>
      </c>
      <c r="P771">
        <v>23824.639999999999</v>
      </c>
      <c r="Q771">
        <v>4538.03</v>
      </c>
      <c r="R771" t="s">
        <v>27</v>
      </c>
      <c r="S771">
        <f t="shared" ref="S771:S834" si="36">L771-K771</f>
        <v>3</v>
      </c>
      <c r="T771" s="2">
        <f t="shared" ref="T771:T834" si="37">P771/O771</f>
        <v>0.83999990127868784</v>
      </c>
      <c r="U771" s="2">
        <f t="shared" ref="U771:U834" si="38">Q771/O771</f>
        <v>0.16000009872131221</v>
      </c>
    </row>
    <row r="772" spans="1:21" x14ac:dyDescent="0.3">
      <c r="A772">
        <v>10771</v>
      </c>
      <c r="B772" t="s">
        <v>45</v>
      </c>
      <c r="C772" t="s">
        <v>46</v>
      </c>
      <c r="D772" t="s">
        <v>30</v>
      </c>
      <c r="E772">
        <v>45</v>
      </c>
      <c r="F772" t="s">
        <v>40</v>
      </c>
      <c r="G772" t="s">
        <v>22</v>
      </c>
      <c r="H772" t="s">
        <v>23</v>
      </c>
      <c r="I772" t="s">
        <v>24</v>
      </c>
      <c r="J772">
        <v>15</v>
      </c>
      <c r="K772" s="1">
        <v>45951</v>
      </c>
      <c r="L772" s="1">
        <v>45957</v>
      </c>
      <c r="M772" t="s">
        <v>25</v>
      </c>
      <c r="N772" t="s">
        <v>26</v>
      </c>
      <c r="O772">
        <v>208922</v>
      </c>
      <c r="P772">
        <v>129531.64</v>
      </c>
      <c r="Q772">
        <v>79390.36</v>
      </c>
      <c r="R772" t="s">
        <v>32</v>
      </c>
      <c r="S772">
        <f t="shared" si="36"/>
        <v>6</v>
      </c>
      <c r="T772" s="2">
        <f t="shared" si="37"/>
        <v>0.62</v>
      </c>
      <c r="U772" s="2">
        <f t="shared" si="38"/>
        <v>0.38</v>
      </c>
    </row>
    <row r="773" spans="1:21" x14ac:dyDescent="0.3">
      <c r="A773">
        <v>10772</v>
      </c>
      <c r="B773" t="s">
        <v>156</v>
      </c>
      <c r="C773" t="s">
        <v>157</v>
      </c>
      <c r="D773" t="s">
        <v>30</v>
      </c>
      <c r="E773">
        <v>47</v>
      </c>
      <c r="F773" t="s">
        <v>40</v>
      </c>
      <c r="G773" t="s">
        <v>70</v>
      </c>
      <c r="H773" t="s">
        <v>71</v>
      </c>
      <c r="I773" t="s">
        <v>43</v>
      </c>
      <c r="J773">
        <v>11</v>
      </c>
      <c r="K773" s="1">
        <v>45939</v>
      </c>
      <c r="L773" s="1">
        <v>45943</v>
      </c>
      <c r="M773" t="s">
        <v>44</v>
      </c>
      <c r="N773" t="s">
        <v>26</v>
      </c>
      <c r="O773">
        <v>22251.57</v>
      </c>
      <c r="P773">
        <v>18691.32</v>
      </c>
      <c r="Q773">
        <v>3560.25</v>
      </c>
      <c r="R773" t="s">
        <v>32</v>
      </c>
      <c r="S773">
        <f t="shared" si="36"/>
        <v>4</v>
      </c>
      <c r="T773" s="2">
        <f t="shared" si="37"/>
        <v>0.84000005392877897</v>
      </c>
      <c r="U773" s="2">
        <f t="shared" si="38"/>
        <v>0.15999994607122103</v>
      </c>
    </row>
    <row r="774" spans="1:21" x14ac:dyDescent="0.3">
      <c r="A774">
        <v>10773</v>
      </c>
      <c r="B774" t="s">
        <v>154</v>
      </c>
      <c r="C774" t="s">
        <v>155</v>
      </c>
      <c r="D774" t="s">
        <v>30</v>
      </c>
      <c r="E774">
        <v>67</v>
      </c>
      <c r="F774" t="s">
        <v>119</v>
      </c>
      <c r="G774" t="s">
        <v>88</v>
      </c>
      <c r="H774" t="s">
        <v>89</v>
      </c>
      <c r="I774" t="s">
        <v>62</v>
      </c>
      <c r="J774">
        <v>14</v>
      </c>
      <c r="K774" s="1">
        <v>45999</v>
      </c>
      <c r="L774" s="1">
        <v>46002</v>
      </c>
      <c r="M774" t="s">
        <v>96</v>
      </c>
      <c r="N774" t="s">
        <v>26</v>
      </c>
      <c r="O774">
        <v>121756.26</v>
      </c>
      <c r="P774">
        <v>75488.88</v>
      </c>
      <c r="Q774">
        <v>46267.38</v>
      </c>
      <c r="R774" t="s">
        <v>27</v>
      </c>
      <c r="S774">
        <f t="shared" si="36"/>
        <v>3</v>
      </c>
      <c r="T774" s="2">
        <f t="shared" si="37"/>
        <v>0.61999999014424401</v>
      </c>
      <c r="U774" s="2">
        <f t="shared" si="38"/>
        <v>0.38000000985575605</v>
      </c>
    </row>
    <row r="775" spans="1:21" x14ac:dyDescent="0.3">
      <c r="A775">
        <v>10774</v>
      </c>
      <c r="B775" t="s">
        <v>144</v>
      </c>
      <c r="C775" t="s">
        <v>145</v>
      </c>
      <c r="D775" t="s">
        <v>30</v>
      </c>
      <c r="E775">
        <v>37</v>
      </c>
      <c r="F775" t="s">
        <v>40</v>
      </c>
      <c r="G775" t="s">
        <v>22</v>
      </c>
      <c r="H775" t="s">
        <v>23</v>
      </c>
      <c r="I775" t="s">
        <v>24</v>
      </c>
      <c r="J775">
        <v>15</v>
      </c>
      <c r="K775" s="1">
        <v>45913</v>
      </c>
      <c r="L775" s="1">
        <v>45926</v>
      </c>
      <c r="M775" t="s">
        <v>66</v>
      </c>
      <c r="N775" t="s">
        <v>26</v>
      </c>
      <c r="O775">
        <v>43947.38</v>
      </c>
      <c r="P775">
        <v>37355.269999999997</v>
      </c>
      <c r="Q775">
        <v>6592.11</v>
      </c>
      <c r="R775" t="s">
        <v>32</v>
      </c>
      <c r="S775">
        <f t="shared" si="36"/>
        <v>13</v>
      </c>
      <c r="T775" s="2">
        <f t="shared" si="37"/>
        <v>0.84999993173654487</v>
      </c>
      <c r="U775" s="2">
        <f t="shared" si="38"/>
        <v>0.15000006826345508</v>
      </c>
    </row>
    <row r="776" spans="1:21" x14ac:dyDescent="0.3">
      <c r="A776">
        <v>10775</v>
      </c>
      <c r="B776" t="s">
        <v>129</v>
      </c>
      <c r="C776" t="s">
        <v>130</v>
      </c>
      <c r="D776" t="s">
        <v>30</v>
      </c>
      <c r="E776">
        <v>28</v>
      </c>
      <c r="F776" t="s">
        <v>35</v>
      </c>
      <c r="G776" t="s">
        <v>22</v>
      </c>
      <c r="H776" t="s">
        <v>23</v>
      </c>
      <c r="I776" t="s">
        <v>24</v>
      </c>
      <c r="J776">
        <v>15</v>
      </c>
      <c r="K776" s="1">
        <v>45697</v>
      </c>
      <c r="L776" s="1">
        <v>45706</v>
      </c>
      <c r="M776" t="s">
        <v>66</v>
      </c>
      <c r="N776" t="s">
        <v>51</v>
      </c>
      <c r="O776">
        <v>29616.43</v>
      </c>
      <c r="P776">
        <v>18066.02</v>
      </c>
      <c r="Q776">
        <v>11550.41</v>
      </c>
      <c r="R776" t="s">
        <v>27</v>
      </c>
      <c r="S776">
        <f t="shared" si="36"/>
        <v>9</v>
      </c>
      <c r="T776" s="2">
        <f t="shared" si="37"/>
        <v>0.60999992234040368</v>
      </c>
      <c r="U776" s="2">
        <f t="shared" si="38"/>
        <v>0.39000007765959638</v>
      </c>
    </row>
    <row r="777" spans="1:21" x14ac:dyDescent="0.3">
      <c r="A777">
        <v>10776</v>
      </c>
      <c r="B777" t="s">
        <v>127</v>
      </c>
      <c r="C777" t="s">
        <v>128</v>
      </c>
      <c r="D777" t="s">
        <v>20</v>
      </c>
      <c r="E777">
        <v>41</v>
      </c>
      <c r="F777" t="s">
        <v>54</v>
      </c>
      <c r="G777" t="s">
        <v>55</v>
      </c>
      <c r="H777" t="s">
        <v>56</v>
      </c>
      <c r="I777" t="s">
        <v>49</v>
      </c>
      <c r="J777">
        <v>10</v>
      </c>
      <c r="K777" s="1">
        <v>45960</v>
      </c>
      <c r="L777" s="1">
        <v>45973</v>
      </c>
      <c r="M777" t="s">
        <v>101</v>
      </c>
      <c r="N777" t="s">
        <v>26</v>
      </c>
      <c r="O777">
        <v>35763.53</v>
      </c>
      <c r="P777">
        <v>21458.12</v>
      </c>
      <c r="Q777">
        <v>14305.41</v>
      </c>
      <c r="R777" t="s">
        <v>32</v>
      </c>
      <c r="S777">
        <f t="shared" si="36"/>
        <v>13</v>
      </c>
      <c r="T777" s="2">
        <f t="shared" si="37"/>
        <v>0.6000000559228913</v>
      </c>
      <c r="U777" s="2">
        <f t="shared" si="38"/>
        <v>0.3999999440771087</v>
      </c>
    </row>
    <row r="778" spans="1:21" x14ac:dyDescent="0.3">
      <c r="A778">
        <v>10777</v>
      </c>
      <c r="B778" t="s">
        <v>33</v>
      </c>
      <c r="C778" t="s">
        <v>34</v>
      </c>
      <c r="D778" t="s">
        <v>20</v>
      </c>
      <c r="E778">
        <v>26</v>
      </c>
      <c r="F778" t="s">
        <v>35</v>
      </c>
      <c r="G778" t="s">
        <v>55</v>
      </c>
      <c r="H778" t="s">
        <v>56</v>
      </c>
      <c r="I778" t="s">
        <v>49</v>
      </c>
      <c r="J778">
        <v>10</v>
      </c>
      <c r="K778" s="1">
        <v>45795</v>
      </c>
      <c r="L778" s="1">
        <v>45805</v>
      </c>
      <c r="M778" t="s">
        <v>85</v>
      </c>
      <c r="N778" t="s">
        <v>26</v>
      </c>
      <c r="O778">
        <v>109822.84</v>
      </c>
      <c r="P778">
        <v>73581.3</v>
      </c>
      <c r="Q778">
        <v>36241.54</v>
      </c>
      <c r="R778" t="s">
        <v>27</v>
      </c>
      <c r="S778">
        <f t="shared" si="36"/>
        <v>10</v>
      </c>
      <c r="T778" s="2">
        <f t="shared" si="37"/>
        <v>0.66999997450439275</v>
      </c>
      <c r="U778" s="2">
        <f t="shared" si="38"/>
        <v>0.33000002549560731</v>
      </c>
    </row>
    <row r="779" spans="1:21" x14ac:dyDescent="0.3">
      <c r="A779">
        <v>10778</v>
      </c>
      <c r="B779" t="s">
        <v>133</v>
      </c>
      <c r="C779" t="s">
        <v>134</v>
      </c>
      <c r="D779" t="s">
        <v>20</v>
      </c>
      <c r="E779">
        <v>56</v>
      </c>
      <c r="F779" t="s">
        <v>40</v>
      </c>
      <c r="G779" t="s">
        <v>55</v>
      </c>
      <c r="H779" t="s">
        <v>56</v>
      </c>
      <c r="I779" t="s">
        <v>49</v>
      </c>
      <c r="J779">
        <v>10</v>
      </c>
      <c r="K779" s="1">
        <v>45776</v>
      </c>
      <c r="L779" s="1">
        <v>45790</v>
      </c>
      <c r="M779" t="s">
        <v>50</v>
      </c>
      <c r="N779" t="s">
        <v>51</v>
      </c>
      <c r="O779">
        <v>281979.31</v>
      </c>
      <c r="P779">
        <v>183286.55</v>
      </c>
      <c r="Q779">
        <v>98692.76</v>
      </c>
      <c r="R779" t="s">
        <v>32</v>
      </c>
      <c r="S779">
        <f t="shared" si="36"/>
        <v>14</v>
      </c>
      <c r="T779" s="2">
        <f t="shared" si="37"/>
        <v>0.64999999468046077</v>
      </c>
      <c r="U779" s="2">
        <f t="shared" si="38"/>
        <v>0.35000000531953923</v>
      </c>
    </row>
    <row r="780" spans="1:21" x14ac:dyDescent="0.3">
      <c r="A780">
        <v>10779</v>
      </c>
      <c r="B780" t="s">
        <v>67</v>
      </c>
      <c r="C780" t="s">
        <v>68</v>
      </c>
      <c r="D780" t="s">
        <v>20</v>
      </c>
      <c r="E780">
        <v>33</v>
      </c>
      <c r="F780" t="s">
        <v>69</v>
      </c>
      <c r="G780" t="s">
        <v>88</v>
      </c>
      <c r="H780" t="s">
        <v>89</v>
      </c>
      <c r="I780" t="s">
        <v>62</v>
      </c>
      <c r="J780">
        <v>14</v>
      </c>
      <c r="K780" s="1">
        <v>45953</v>
      </c>
      <c r="L780" s="1">
        <v>45964</v>
      </c>
      <c r="M780" t="s">
        <v>77</v>
      </c>
      <c r="N780" t="s">
        <v>26</v>
      </c>
      <c r="O780">
        <v>57925.53</v>
      </c>
      <c r="P780">
        <v>48078.19</v>
      </c>
      <c r="Q780">
        <v>9847.34</v>
      </c>
      <c r="R780" t="s">
        <v>32</v>
      </c>
      <c r="S780">
        <f t="shared" si="36"/>
        <v>11</v>
      </c>
      <c r="T780" s="2">
        <f t="shared" si="37"/>
        <v>0.83000000172635457</v>
      </c>
      <c r="U780" s="2">
        <f t="shared" si="38"/>
        <v>0.16999999827364551</v>
      </c>
    </row>
    <row r="781" spans="1:21" x14ac:dyDescent="0.3">
      <c r="A781">
        <v>10780</v>
      </c>
      <c r="B781" t="s">
        <v>135</v>
      </c>
      <c r="C781" t="s">
        <v>136</v>
      </c>
      <c r="D781" t="s">
        <v>30</v>
      </c>
      <c r="E781">
        <v>52</v>
      </c>
      <c r="F781" t="s">
        <v>35</v>
      </c>
      <c r="G781" t="s">
        <v>22</v>
      </c>
      <c r="H781" t="s">
        <v>23</v>
      </c>
      <c r="I781" t="s">
        <v>24</v>
      </c>
      <c r="J781">
        <v>15</v>
      </c>
      <c r="K781" s="1">
        <v>45993</v>
      </c>
      <c r="L781" s="1">
        <v>46007</v>
      </c>
      <c r="M781" t="s">
        <v>76</v>
      </c>
      <c r="N781" t="s">
        <v>26</v>
      </c>
      <c r="O781">
        <v>209996.6</v>
      </c>
      <c r="P781">
        <v>178497.11</v>
      </c>
      <c r="Q781">
        <v>31499.49</v>
      </c>
      <c r="R781" t="s">
        <v>32</v>
      </c>
      <c r="S781">
        <f t="shared" si="36"/>
        <v>14</v>
      </c>
      <c r="T781" s="2">
        <f t="shared" si="37"/>
        <v>0.84999999999999987</v>
      </c>
      <c r="U781" s="2">
        <f t="shared" si="38"/>
        <v>0.15</v>
      </c>
    </row>
    <row r="782" spans="1:21" x14ac:dyDescent="0.3">
      <c r="A782">
        <v>10781</v>
      </c>
      <c r="B782" t="s">
        <v>156</v>
      </c>
      <c r="C782" t="s">
        <v>157</v>
      </c>
      <c r="D782" t="s">
        <v>30</v>
      </c>
      <c r="E782">
        <v>47</v>
      </c>
      <c r="F782" t="s">
        <v>40</v>
      </c>
      <c r="G782" t="s">
        <v>36</v>
      </c>
      <c r="H782" t="s">
        <v>37</v>
      </c>
      <c r="I782" t="s">
        <v>24</v>
      </c>
      <c r="J782">
        <v>12</v>
      </c>
      <c r="K782" s="1">
        <v>45889</v>
      </c>
      <c r="L782" s="1">
        <v>45900</v>
      </c>
      <c r="M782" t="s">
        <v>25</v>
      </c>
      <c r="N782" t="s">
        <v>26</v>
      </c>
      <c r="O782">
        <v>146080.39000000001</v>
      </c>
      <c r="P782">
        <v>105177.88</v>
      </c>
      <c r="Q782">
        <v>40902.51</v>
      </c>
      <c r="R782" t="s">
        <v>32</v>
      </c>
      <c r="S782">
        <f t="shared" si="36"/>
        <v>11</v>
      </c>
      <c r="T782" s="2">
        <f t="shared" si="37"/>
        <v>0.71999999452356334</v>
      </c>
      <c r="U782" s="2">
        <f t="shared" si="38"/>
        <v>0.28000000547643661</v>
      </c>
    </row>
    <row r="783" spans="1:21" x14ac:dyDescent="0.3">
      <c r="A783">
        <v>10782</v>
      </c>
      <c r="B783" t="s">
        <v>144</v>
      </c>
      <c r="C783" t="s">
        <v>145</v>
      </c>
      <c r="D783" t="s">
        <v>30</v>
      </c>
      <c r="E783">
        <v>37</v>
      </c>
      <c r="F783" t="s">
        <v>40</v>
      </c>
      <c r="G783" t="s">
        <v>41</v>
      </c>
      <c r="H783" t="s">
        <v>42</v>
      </c>
      <c r="I783" t="s">
        <v>43</v>
      </c>
      <c r="J783">
        <v>9</v>
      </c>
      <c r="K783" s="1">
        <v>45716</v>
      </c>
      <c r="L783" s="1">
        <v>45719</v>
      </c>
      <c r="M783" t="s">
        <v>44</v>
      </c>
      <c r="N783" t="s">
        <v>26</v>
      </c>
      <c r="O783">
        <v>29494.71</v>
      </c>
      <c r="P783">
        <v>22710.93</v>
      </c>
      <c r="Q783">
        <v>6783.78</v>
      </c>
      <c r="R783" t="s">
        <v>27</v>
      </c>
      <c r="S783">
        <f t="shared" si="36"/>
        <v>3</v>
      </c>
      <c r="T783" s="2">
        <f t="shared" si="37"/>
        <v>0.77000011188447015</v>
      </c>
      <c r="U783" s="2">
        <f t="shared" si="38"/>
        <v>0.22999988811552988</v>
      </c>
    </row>
    <row r="784" spans="1:21" x14ac:dyDescent="0.3">
      <c r="A784">
        <v>10783</v>
      </c>
      <c r="B784" t="s">
        <v>123</v>
      </c>
      <c r="C784" t="s">
        <v>124</v>
      </c>
      <c r="D784" t="s">
        <v>30</v>
      </c>
      <c r="E784">
        <v>65</v>
      </c>
      <c r="F784" t="s">
        <v>35</v>
      </c>
      <c r="G784" t="s">
        <v>55</v>
      </c>
      <c r="H784" t="s">
        <v>56</v>
      </c>
      <c r="I784" t="s">
        <v>49</v>
      </c>
      <c r="J784">
        <v>10</v>
      </c>
      <c r="K784" s="1">
        <v>45872</v>
      </c>
      <c r="L784" s="1">
        <v>45879</v>
      </c>
      <c r="M784" t="s">
        <v>85</v>
      </c>
      <c r="N784" t="s">
        <v>26</v>
      </c>
      <c r="O784">
        <v>73206.759999999995</v>
      </c>
      <c r="P784">
        <v>44656.12</v>
      </c>
      <c r="Q784">
        <v>28550.639999999999</v>
      </c>
      <c r="R784" t="s">
        <v>27</v>
      </c>
      <c r="S784">
        <f t="shared" si="36"/>
        <v>7</v>
      </c>
      <c r="T784" s="2">
        <f t="shared" si="37"/>
        <v>0.60999995082421354</v>
      </c>
      <c r="U784" s="2">
        <f t="shared" si="38"/>
        <v>0.39000004917578651</v>
      </c>
    </row>
    <row r="785" spans="1:21" x14ac:dyDescent="0.3">
      <c r="A785">
        <v>10784</v>
      </c>
      <c r="B785" t="s">
        <v>137</v>
      </c>
      <c r="C785" t="s">
        <v>138</v>
      </c>
      <c r="D785" t="s">
        <v>30</v>
      </c>
      <c r="E785">
        <v>56</v>
      </c>
      <c r="F785" t="s">
        <v>59</v>
      </c>
      <c r="G785" t="s">
        <v>70</v>
      </c>
      <c r="H785" t="s">
        <v>71</v>
      </c>
      <c r="I785" t="s">
        <v>43</v>
      </c>
      <c r="J785">
        <v>11</v>
      </c>
      <c r="K785" s="1">
        <v>45767</v>
      </c>
      <c r="L785" s="1">
        <v>45777</v>
      </c>
      <c r="M785" t="s">
        <v>44</v>
      </c>
      <c r="N785" t="s">
        <v>51</v>
      </c>
      <c r="O785">
        <v>15014.78</v>
      </c>
      <c r="P785">
        <v>10810.64</v>
      </c>
      <c r="Q785">
        <v>4204.1400000000003</v>
      </c>
      <c r="R785" t="s">
        <v>32</v>
      </c>
      <c r="S785">
        <f t="shared" si="36"/>
        <v>10</v>
      </c>
      <c r="T785" s="2">
        <f t="shared" si="37"/>
        <v>0.71999989343833204</v>
      </c>
      <c r="U785" s="2">
        <f t="shared" si="38"/>
        <v>0.28000010656166791</v>
      </c>
    </row>
    <row r="786" spans="1:21" x14ac:dyDescent="0.3">
      <c r="A786">
        <v>10785</v>
      </c>
      <c r="B786" t="s">
        <v>90</v>
      </c>
      <c r="C786" t="s">
        <v>91</v>
      </c>
      <c r="D786" t="s">
        <v>20</v>
      </c>
      <c r="E786">
        <v>48</v>
      </c>
      <c r="F786" t="s">
        <v>84</v>
      </c>
      <c r="G786" t="s">
        <v>60</v>
      </c>
      <c r="H786" t="s">
        <v>61</v>
      </c>
      <c r="I786" t="s">
        <v>62</v>
      </c>
      <c r="J786">
        <v>18</v>
      </c>
      <c r="K786" s="1">
        <v>45856</v>
      </c>
      <c r="L786" s="1">
        <v>45859</v>
      </c>
      <c r="M786" t="s">
        <v>77</v>
      </c>
      <c r="N786" t="s">
        <v>26</v>
      </c>
      <c r="O786">
        <v>85411.37</v>
      </c>
      <c r="P786">
        <v>68329.100000000006</v>
      </c>
      <c r="Q786">
        <v>17082.27</v>
      </c>
      <c r="R786" t="s">
        <v>32</v>
      </c>
      <c r="S786">
        <f t="shared" si="36"/>
        <v>3</v>
      </c>
      <c r="T786" s="2">
        <f t="shared" si="37"/>
        <v>0.80000004683217241</v>
      </c>
      <c r="U786" s="2">
        <f t="shared" si="38"/>
        <v>0.19999995316782768</v>
      </c>
    </row>
    <row r="787" spans="1:21" x14ac:dyDescent="0.3">
      <c r="A787">
        <v>10786</v>
      </c>
      <c r="B787" t="s">
        <v>67</v>
      </c>
      <c r="C787" t="s">
        <v>68</v>
      </c>
      <c r="D787" t="s">
        <v>20</v>
      </c>
      <c r="E787">
        <v>33</v>
      </c>
      <c r="F787" t="s">
        <v>69</v>
      </c>
      <c r="G787" t="s">
        <v>22</v>
      </c>
      <c r="H787" t="s">
        <v>23</v>
      </c>
      <c r="I787" t="s">
        <v>24</v>
      </c>
      <c r="J787">
        <v>15</v>
      </c>
      <c r="K787" s="1">
        <v>45985</v>
      </c>
      <c r="L787" s="1">
        <v>45999</v>
      </c>
      <c r="M787" t="s">
        <v>25</v>
      </c>
      <c r="N787" t="s">
        <v>26</v>
      </c>
      <c r="O787">
        <v>161526.29</v>
      </c>
      <c r="P787">
        <v>125990.51</v>
      </c>
      <c r="Q787">
        <v>35535.78</v>
      </c>
      <c r="R787" t="s">
        <v>32</v>
      </c>
      <c r="S787">
        <f t="shared" si="36"/>
        <v>14</v>
      </c>
      <c r="T787" s="2">
        <f t="shared" si="37"/>
        <v>0.78000002352558206</v>
      </c>
      <c r="U787" s="2">
        <f t="shared" si="38"/>
        <v>0.21999997647441785</v>
      </c>
    </row>
    <row r="788" spans="1:21" x14ac:dyDescent="0.3">
      <c r="A788">
        <v>10787</v>
      </c>
      <c r="B788" t="s">
        <v>150</v>
      </c>
      <c r="C788" t="s">
        <v>151</v>
      </c>
      <c r="D788" t="s">
        <v>30</v>
      </c>
      <c r="E788">
        <v>47</v>
      </c>
      <c r="F788" t="s">
        <v>54</v>
      </c>
      <c r="G788" t="s">
        <v>70</v>
      </c>
      <c r="H788" t="s">
        <v>71</v>
      </c>
      <c r="I788" t="s">
        <v>43</v>
      </c>
      <c r="J788">
        <v>11</v>
      </c>
      <c r="K788" s="1">
        <v>45788</v>
      </c>
      <c r="L788" s="1">
        <v>45790</v>
      </c>
      <c r="M788" t="s">
        <v>72</v>
      </c>
      <c r="N788" t="s">
        <v>51</v>
      </c>
      <c r="O788">
        <v>24416.59</v>
      </c>
      <c r="P788">
        <v>17091.61</v>
      </c>
      <c r="Q788">
        <v>7324.98</v>
      </c>
      <c r="R788" t="s">
        <v>32</v>
      </c>
      <c r="S788">
        <f t="shared" si="36"/>
        <v>2</v>
      </c>
      <c r="T788" s="2">
        <f t="shared" si="37"/>
        <v>0.69999987713272005</v>
      </c>
      <c r="U788" s="2">
        <f t="shared" si="38"/>
        <v>0.30000012286727995</v>
      </c>
    </row>
    <row r="789" spans="1:21" x14ac:dyDescent="0.3">
      <c r="A789">
        <v>10788</v>
      </c>
      <c r="B789" t="s">
        <v>148</v>
      </c>
      <c r="C789" t="s">
        <v>149</v>
      </c>
      <c r="D789" t="s">
        <v>30</v>
      </c>
      <c r="E789">
        <v>19</v>
      </c>
      <c r="F789" t="s">
        <v>21</v>
      </c>
      <c r="G789" t="s">
        <v>47</v>
      </c>
      <c r="H789" t="s">
        <v>48</v>
      </c>
      <c r="I789" t="s">
        <v>49</v>
      </c>
      <c r="J789">
        <v>8</v>
      </c>
      <c r="K789" s="1">
        <v>45857</v>
      </c>
      <c r="L789" s="1">
        <v>45867</v>
      </c>
      <c r="M789" t="s">
        <v>101</v>
      </c>
      <c r="N789" t="s">
        <v>26</v>
      </c>
      <c r="O789">
        <v>56502.25</v>
      </c>
      <c r="P789">
        <v>37856.51</v>
      </c>
      <c r="Q789">
        <v>18645.740000000002</v>
      </c>
      <c r="R789" t="s">
        <v>32</v>
      </c>
      <c r="S789">
        <f t="shared" si="36"/>
        <v>10</v>
      </c>
      <c r="T789" s="2">
        <f t="shared" si="37"/>
        <v>0.67000004424602566</v>
      </c>
      <c r="U789" s="2">
        <f t="shared" si="38"/>
        <v>0.32999995575397445</v>
      </c>
    </row>
    <row r="790" spans="1:21" x14ac:dyDescent="0.3">
      <c r="A790">
        <v>10789</v>
      </c>
      <c r="B790" t="s">
        <v>18</v>
      </c>
      <c r="C790" t="s">
        <v>19</v>
      </c>
      <c r="D790" t="s">
        <v>20</v>
      </c>
      <c r="E790">
        <v>45</v>
      </c>
      <c r="F790" t="s">
        <v>21</v>
      </c>
      <c r="G790" t="s">
        <v>47</v>
      </c>
      <c r="H790" t="s">
        <v>48</v>
      </c>
      <c r="I790" t="s">
        <v>49</v>
      </c>
      <c r="J790">
        <v>8</v>
      </c>
      <c r="K790" s="1">
        <v>45920</v>
      </c>
      <c r="L790" s="1">
        <v>45931</v>
      </c>
      <c r="M790" t="s">
        <v>50</v>
      </c>
      <c r="N790" t="s">
        <v>26</v>
      </c>
      <c r="O790">
        <v>272460.32</v>
      </c>
      <c r="P790">
        <v>187997.62</v>
      </c>
      <c r="Q790">
        <v>84462.7</v>
      </c>
      <c r="R790" t="s">
        <v>32</v>
      </c>
      <c r="S790">
        <f t="shared" si="36"/>
        <v>11</v>
      </c>
      <c r="T790" s="2">
        <f t="shared" si="37"/>
        <v>0.68999999706379256</v>
      </c>
      <c r="U790" s="2">
        <f t="shared" si="38"/>
        <v>0.31000000293620733</v>
      </c>
    </row>
    <row r="791" spans="1:21" x14ac:dyDescent="0.3">
      <c r="A791">
        <v>10790</v>
      </c>
      <c r="B791" t="s">
        <v>143</v>
      </c>
      <c r="C791" t="s">
        <v>74</v>
      </c>
      <c r="D791" t="s">
        <v>20</v>
      </c>
      <c r="E791">
        <v>35</v>
      </c>
      <c r="F791" t="s">
        <v>119</v>
      </c>
      <c r="G791" t="s">
        <v>60</v>
      </c>
      <c r="H791" t="s">
        <v>61</v>
      </c>
      <c r="I791" t="s">
        <v>62</v>
      </c>
      <c r="J791">
        <v>18</v>
      </c>
      <c r="K791" s="1">
        <v>45803</v>
      </c>
      <c r="L791" s="1">
        <v>45815</v>
      </c>
      <c r="M791" t="s">
        <v>63</v>
      </c>
      <c r="N791" t="s">
        <v>51</v>
      </c>
      <c r="O791">
        <v>19038.2</v>
      </c>
      <c r="P791">
        <v>13136.36</v>
      </c>
      <c r="Q791">
        <v>5901.84</v>
      </c>
      <c r="R791" t="s">
        <v>32</v>
      </c>
      <c r="S791">
        <f t="shared" si="36"/>
        <v>12</v>
      </c>
      <c r="T791" s="2">
        <f t="shared" si="37"/>
        <v>0.6900001050519482</v>
      </c>
      <c r="U791" s="2">
        <f t="shared" si="38"/>
        <v>0.3099998949480518</v>
      </c>
    </row>
    <row r="792" spans="1:21" x14ac:dyDescent="0.3">
      <c r="A792">
        <v>10791</v>
      </c>
      <c r="B792" t="s">
        <v>86</v>
      </c>
      <c r="C792" t="s">
        <v>87</v>
      </c>
      <c r="D792" t="s">
        <v>30</v>
      </c>
      <c r="E792">
        <v>23</v>
      </c>
      <c r="F792" t="s">
        <v>31</v>
      </c>
      <c r="G792" t="s">
        <v>60</v>
      </c>
      <c r="H792" t="s">
        <v>61</v>
      </c>
      <c r="I792" t="s">
        <v>62</v>
      </c>
      <c r="J792">
        <v>18</v>
      </c>
      <c r="K792" s="1">
        <v>45877</v>
      </c>
      <c r="L792" s="1">
        <v>45882</v>
      </c>
      <c r="M792" t="s">
        <v>96</v>
      </c>
      <c r="N792" t="s">
        <v>26</v>
      </c>
      <c r="O792">
        <v>243177.36</v>
      </c>
      <c r="P792">
        <v>162928.82999999999</v>
      </c>
      <c r="Q792">
        <v>80248.53</v>
      </c>
      <c r="R792" t="s">
        <v>32</v>
      </c>
      <c r="S792">
        <f t="shared" si="36"/>
        <v>5</v>
      </c>
      <c r="T792" s="2">
        <f t="shared" si="37"/>
        <v>0.66999999506533003</v>
      </c>
      <c r="U792" s="2">
        <f t="shared" si="38"/>
        <v>0.33000000493466991</v>
      </c>
    </row>
    <row r="793" spans="1:21" x14ac:dyDescent="0.3">
      <c r="A793">
        <v>10792</v>
      </c>
      <c r="B793" t="s">
        <v>110</v>
      </c>
      <c r="C793" t="s">
        <v>111</v>
      </c>
      <c r="D793" t="s">
        <v>20</v>
      </c>
      <c r="E793">
        <v>44</v>
      </c>
      <c r="F793" t="s">
        <v>35</v>
      </c>
      <c r="G793" t="s">
        <v>36</v>
      </c>
      <c r="H793" t="s">
        <v>37</v>
      </c>
      <c r="I793" t="s">
        <v>24</v>
      </c>
      <c r="J793">
        <v>12</v>
      </c>
      <c r="K793" s="1">
        <v>45769</v>
      </c>
      <c r="L793" s="1">
        <v>45781</v>
      </c>
      <c r="M793" t="s">
        <v>76</v>
      </c>
      <c r="N793" t="s">
        <v>26</v>
      </c>
      <c r="O793">
        <v>215699.08</v>
      </c>
      <c r="P793">
        <v>144518.38</v>
      </c>
      <c r="Q793">
        <v>71180.7</v>
      </c>
      <c r="R793" t="s">
        <v>32</v>
      </c>
      <c r="S793">
        <f t="shared" si="36"/>
        <v>12</v>
      </c>
      <c r="T793" s="2">
        <f t="shared" si="37"/>
        <v>0.66999998331008181</v>
      </c>
      <c r="U793" s="2">
        <f t="shared" si="38"/>
        <v>0.33000001668991819</v>
      </c>
    </row>
    <row r="794" spans="1:21" x14ac:dyDescent="0.3">
      <c r="A794">
        <v>10793</v>
      </c>
      <c r="B794" t="s">
        <v>121</v>
      </c>
      <c r="C794" t="s">
        <v>122</v>
      </c>
      <c r="D794" t="s">
        <v>20</v>
      </c>
      <c r="E794">
        <v>23</v>
      </c>
      <c r="F794" t="s">
        <v>59</v>
      </c>
      <c r="G794" t="s">
        <v>55</v>
      </c>
      <c r="H794" t="s">
        <v>56</v>
      </c>
      <c r="I794" t="s">
        <v>49</v>
      </c>
      <c r="J794">
        <v>10</v>
      </c>
      <c r="K794" s="1">
        <v>45709</v>
      </c>
      <c r="L794" s="1">
        <v>45714</v>
      </c>
      <c r="M794" t="s">
        <v>101</v>
      </c>
      <c r="N794" t="s">
        <v>26</v>
      </c>
      <c r="O794">
        <v>24792.44</v>
      </c>
      <c r="P794">
        <v>17602.63</v>
      </c>
      <c r="Q794">
        <v>7189.81</v>
      </c>
      <c r="R794" t="s">
        <v>27</v>
      </c>
      <c r="S794">
        <f t="shared" si="36"/>
        <v>5</v>
      </c>
      <c r="T794" s="2">
        <f t="shared" si="37"/>
        <v>0.70999990319629702</v>
      </c>
      <c r="U794" s="2">
        <f t="shared" si="38"/>
        <v>0.29000009680370309</v>
      </c>
    </row>
    <row r="795" spans="1:21" x14ac:dyDescent="0.3">
      <c r="A795">
        <v>10794</v>
      </c>
      <c r="B795" t="s">
        <v>57</v>
      </c>
      <c r="C795" t="s">
        <v>58</v>
      </c>
      <c r="D795" t="s">
        <v>20</v>
      </c>
      <c r="E795">
        <v>45</v>
      </c>
      <c r="F795" t="s">
        <v>59</v>
      </c>
      <c r="G795" t="s">
        <v>70</v>
      </c>
      <c r="H795" t="s">
        <v>71</v>
      </c>
      <c r="I795" t="s">
        <v>43</v>
      </c>
      <c r="J795">
        <v>11</v>
      </c>
      <c r="K795" s="1">
        <v>45843</v>
      </c>
      <c r="L795" s="1">
        <v>45857</v>
      </c>
      <c r="M795" t="s">
        <v>72</v>
      </c>
      <c r="N795" t="s">
        <v>26</v>
      </c>
      <c r="O795">
        <v>15854.08</v>
      </c>
      <c r="P795">
        <v>10463.69</v>
      </c>
      <c r="Q795">
        <v>5390.39</v>
      </c>
      <c r="R795" t="s">
        <v>27</v>
      </c>
      <c r="S795">
        <f t="shared" si="36"/>
        <v>14</v>
      </c>
      <c r="T795" s="2">
        <f t="shared" si="37"/>
        <v>0.65999982338931051</v>
      </c>
      <c r="U795" s="2">
        <f t="shared" si="38"/>
        <v>0.34000017661068949</v>
      </c>
    </row>
    <row r="796" spans="1:21" x14ac:dyDescent="0.3">
      <c r="A796">
        <v>10795</v>
      </c>
      <c r="B796" t="s">
        <v>102</v>
      </c>
      <c r="C796" t="s">
        <v>103</v>
      </c>
      <c r="D796" t="s">
        <v>30</v>
      </c>
      <c r="E796">
        <v>59</v>
      </c>
      <c r="F796" t="s">
        <v>75</v>
      </c>
      <c r="G796" t="s">
        <v>55</v>
      </c>
      <c r="H796" t="s">
        <v>56</v>
      </c>
      <c r="I796" t="s">
        <v>49</v>
      </c>
      <c r="J796">
        <v>10</v>
      </c>
      <c r="K796" s="1">
        <v>45998</v>
      </c>
      <c r="L796" s="1">
        <v>46007</v>
      </c>
      <c r="M796" t="s">
        <v>101</v>
      </c>
      <c r="N796" t="s">
        <v>26</v>
      </c>
      <c r="O796">
        <v>35877.43</v>
      </c>
      <c r="P796">
        <v>24755.43</v>
      </c>
      <c r="Q796">
        <v>11122</v>
      </c>
      <c r="R796" t="s">
        <v>27</v>
      </c>
      <c r="S796">
        <f t="shared" si="36"/>
        <v>9</v>
      </c>
      <c r="T796" s="2">
        <f t="shared" si="37"/>
        <v>0.69000009197983247</v>
      </c>
      <c r="U796" s="2">
        <f t="shared" si="38"/>
        <v>0.30999990802016753</v>
      </c>
    </row>
    <row r="797" spans="1:21" x14ac:dyDescent="0.3">
      <c r="A797">
        <v>10796</v>
      </c>
      <c r="B797" t="s">
        <v>94</v>
      </c>
      <c r="C797" t="s">
        <v>95</v>
      </c>
      <c r="D797" t="s">
        <v>30</v>
      </c>
      <c r="E797">
        <v>66</v>
      </c>
      <c r="F797" t="s">
        <v>54</v>
      </c>
      <c r="G797" t="s">
        <v>70</v>
      </c>
      <c r="H797" t="s">
        <v>71</v>
      </c>
      <c r="I797" t="s">
        <v>43</v>
      </c>
      <c r="J797">
        <v>11</v>
      </c>
      <c r="K797" s="1">
        <v>45834</v>
      </c>
      <c r="L797" s="1">
        <v>45845</v>
      </c>
      <c r="M797" t="s">
        <v>44</v>
      </c>
      <c r="N797" t="s">
        <v>26</v>
      </c>
      <c r="O797">
        <v>33356.83</v>
      </c>
      <c r="P797">
        <v>23016.21</v>
      </c>
      <c r="Q797">
        <v>10340.620000000001</v>
      </c>
      <c r="R797" t="s">
        <v>32</v>
      </c>
      <c r="S797">
        <f t="shared" si="36"/>
        <v>11</v>
      </c>
      <c r="T797" s="2">
        <f t="shared" si="37"/>
        <v>0.6899999190570566</v>
      </c>
      <c r="U797" s="2">
        <f t="shared" si="38"/>
        <v>0.31000008094294335</v>
      </c>
    </row>
    <row r="798" spans="1:21" x14ac:dyDescent="0.3">
      <c r="A798">
        <v>10797</v>
      </c>
      <c r="B798" t="s">
        <v>104</v>
      </c>
      <c r="C798" t="s">
        <v>105</v>
      </c>
      <c r="D798" t="s">
        <v>30</v>
      </c>
      <c r="E798">
        <v>68</v>
      </c>
      <c r="F798" t="s">
        <v>21</v>
      </c>
      <c r="G798" t="s">
        <v>60</v>
      </c>
      <c r="H798" t="s">
        <v>61</v>
      </c>
      <c r="I798" t="s">
        <v>62</v>
      </c>
      <c r="J798">
        <v>18</v>
      </c>
      <c r="K798" s="1">
        <v>45805</v>
      </c>
      <c r="L798" s="1">
        <v>45815</v>
      </c>
      <c r="M798" t="s">
        <v>96</v>
      </c>
      <c r="N798" t="s">
        <v>26</v>
      </c>
      <c r="O798">
        <v>133855.82</v>
      </c>
      <c r="P798">
        <v>112438.89</v>
      </c>
      <c r="Q798">
        <v>21416.93</v>
      </c>
      <c r="R798" t="s">
        <v>27</v>
      </c>
      <c r="S798">
        <f t="shared" si="36"/>
        <v>10</v>
      </c>
      <c r="T798" s="2">
        <f t="shared" si="37"/>
        <v>0.84000000896486982</v>
      </c>
      <c r="U798" s="2">
        <f t="shared" si="38"/>
        <v>0.15999999103513018</v>
      </c>
    </row>
    <row r="799" spans="1:21" x14ac:dyDescent="0.3">
      <c r="A799">
        <v>10798</v>
      </c>
      <c r="B799" t="s">
        <v>120</v>
      </c>
      <c r="C799" t="s">
        <v>74</v>
      </c>
      <c r="D799" t="s">
        <v>20</v>
      </c>
      <c r="E799">
        <v>61</v>
      </c>
      <c r="F799" t="s">
        <v>69</v>
      </c>
      <c r="G799" t="s">
        <v>70</v>
      </c>
      <c r="H799" t="s">
        <v>71</v>
      </c>
      <c r="I799" t="s">
        <v>43</v>
      </c>
      <c r="J799">
        <v>11</v>
      </c>
      <c r="K799" s="1">
        <v>45690</v>
      </c>
      <c r="L799" s="1">
        <v>45696</v>
      </c>
      <c r="M799" t="s">
        <v>72</v>
      </c>
      <c r="N799" t="s">
        <v>51</v>
      </c>
      <c r="O799">
        <v>18023.09</v>
      </c>
      <c r="P799">
        <v>11715.01</v>
      </c>
      <c r="Q799">
        <v>6308.08</v>
      </c>
      <c r="R799" t="s">
        <v>27</v>
      </c>
      <c r="S799">
        <f t="shared" si="36"/>
        <v>6</v>
      </c>
      <c r="T799" s="2">
        <f t="shared" si="37"/>
        <v>0.6500000832265721</v>
      </c>
      <c r="U799" s="2">
        <f t="shared" si="38"/>
        <v>0.34999991677342784</v>
      </c>
    </row>
    <row r="800" spans="1:21" x14ac:dyDescent="0.3">
      <c r="A800">
        <v>10799</v>
      </c>
      <c r="B800" t="s">
        <v>106</v>
      </c>
      <c r="C800" t="s">
        <v>107</v>
      </c>
      <c r="D800" t="s">
        <v>30</v>
      </c>
      <c r="E800">
        <v>37</v>
      </c>
      <c r="F800" t="s">
        <v>31</v>
      </c>
      <c r="G800" t="s">
        <v>60</v>
      </c>
      <c r="H800" t="s">
        <v>61</v>
      </c>
      <c r="I800" t="s">
        <v>62</v>
      </c>
      <c r="J800">
        <v>18</v>
      </c>
      <c r="K800" s="1">
        <v>45808</v>
      </c>
      <c r="L800" s="1">
        <v>45819</v>
      </c>
      <c r="M800" t="s">
        <v>77</v>
      </c>
      <c r="N800" t="s">
        <v>26</v>
      </c>
      <c r="O800">
        <v>86777.91</v>
      </c>
      <c r="P800">
        <v>57273.42</v>
      </c>
      <c r="Q800">
        <v>29504.49</v>
      </c>
      <c r="R800" t="s">
        <v>27</v>
      </c>
      <c r="S800">
        <f t="shared" si="36"/>
        <v>11</v>
      </c>
      <c r="T800" s="2">
        <f t="shared" si="37"/>
        <v>0.65999999308579793</v>
      </c>
      <c r="U800" s="2">
        <f t="shared" si="38"/>
        <v>0.34000000691420201</v>
      </c>
    </row>
    <row r="801" spans="1:21" x14ac:dyDescent="0.3">
      <c r="A801">
        <v>10800</v>
      </c>
      <c r="B801" t="s">
        <v>90</v>
      </c>
      <c r="C801" t="s">
        <v>91</v>
      </c>
      <c r="D801" t="s">
        <v>20</v>
      </c>
      <c r="E801">
        <v>48</v>
      </c>
      <c r="F801" t="s">
        <v>84</v>
      </c>
      <c r="G801" t="s">
        <v>36</v>
      </c>
      <c r="H801" t="s">
        <v>37</v>
      </c>
      <c r="I801" t="s">
        <v>24</v>
      </c>
      <c r="J801">
        <v>12</v>
      </c>
      <c r="K801" s="1">
        <v>45728</v>
      </c>
      <c r="L801" s="1">
        <v>45733</v>
      </c>
      <c r="M801" t="s">
        <v>25</v>
      </c>
      <c r="N801" t="s">
        <v>26</v>
      </c>
      <c r="O801">
        <v>103156.62</v>
      </c>
      <c r="P801">
        <v>87683.13</v>
      </c>
      <c r="Q801">
        <v>15473.49</v>
      </c>
      <c r="R801" t="s">
        <v>32</v>
      </c>
      <c r="S801">
        <f t="shared" si="36"/>
        <v>5</v>
      </c>
      <c r="T801" s="2">
        <f t="shared" si="37"/>
        <v>0.85000002908199213</v>
      </c>
      <c r="U801" s="2">
        <f t="shared" si="38"/>
        <v>0.14999997091800799</v>
      </c>
    </row>
    <row r="802" spans="1:21" x14ac:dyDescent="0.3">
      <c r="A802">
        <v>10801</v>
      </c>
      <c r="B802" t="s">
        <v>156</v>
      </c>
      <c r="C802" t="s">
        <v>157</v>
      </c>
      <c r="D802" t="s">
        <v>30</v>
      </c>
      <c r="E802">
        <v>47</v>
      </c>
      <c r="F802" t="s">
        <v>40</v>
      </c>
      <c r="G802" t="s">
        <v>60</v>
      </c>
      <c r="H802" t="s">
        <v>61</v>
      </c>
      <c r="I802" t="s">
        <v>62</v>
      </c>
      <c r="J802">
        <v>18</v>
      </c>
      <c r="K802" s="1">
        <v>45747</v>
      </c>
      <c r="L802" s="1">
        <v>45752</v>
      </c>
      <c r="M802" t="s">
        <v>63</v>
      </c>
      <c r="N802" t="s">
        <v>26</v>
      </c>
      <c r="O802">
        <v>41946.01</v>
      </c>
      <c r="P802">
        <v>35234.65</v>
      </c>
      <c r="Q802">
        <v>6711.36</v>
      </c>
      <c r="R802" t="s">
        <v>32</v>
      </c>
      <c r="S802">
        <f t="shared" si="36"/>
        <v>5</v>
      </c>
      <c r="T802" s="2">
        <f t="shared" si="37"/>
        <v>0.8400000381442716</v>
      </c>
      <c r="U802" s="2">
        <f t="shared" si="38"/>
        <v>0.15999996185572835</v>
      </c>
    </row>
    <row r="803" spans="1:21" x14ac:dyDescent="0.3">
      <c r="A803">
        <v>10802</v>
      </c>
      <c r="B803" t="s">
        <v>139</v>
      </c>
      <c r="C803" t="s">
        <v>140</v>
      </c>
      <c r="D803" t="s">
        <v>20</v>
      </c>
      <c r="E803">
        <v>21</v>
      </c>
      <c r="F803" t="s">
        <v>119</v>
      </c>
      <c r="G803" t="s">
        <v>55</v>
      </c>
      <c r="H803" t="s">
        <v>56</v>
      </c>
      <c r="I803" t="s">
        <v>49</v>
      </c>
      <c r="J803">
        <v>10</v>
      </c>
      <c r="K803" s="1">
        <v>45869</v>
      </c>
      <c r="L803" s="1">
        <v>45883</v>
      </c>
      <c r="M803" t="s">
        <v>50</v>
      </c>
      <c r="N803" t="s">
        <v>51</v>
      </c>
      <c r="O803">
        <v>213246.04</v>
      </c>
      <c r="P803">
        <v>176994.21</v>
      </c>
      <c r="Q803">
        <v>36251.83</v>
      </c>
      <c r="R803" t="s">
        <v>32</v>
      </c>
      <c r="S803">
        <f t="shared" si="36"/>
        <v>14</v>
      </c>
      <c r="T803" s="2">
        <f t="shared" si="37"/>
        <v>0.82999998499385963</v>
      </c>
      <c r="U803" s="2">
        <f t="shared" si="38"/>
        <v>0.17000001500614031</v>
      </c>
    </row>
    <row r="804" spans="1:21" x14ac:dyDescent="0.3">
      <c r="A804">
        <v>10803</v>
      </c>
      <c r="B804" t="s">
        <v>115</v>
      </c>
      <c r="C804" t="s">
        <v>116</v>
      </c>
      <c r="D804" t="s">
        <v>30</v>
      </c>
      <c r="E804">
        <v>18</v>
      </c>
      <c r="F804" t="s">
        <v>31</v>
      </c>
      <c r="G804" t="s">
        <v>36</v>
      </c>
      <c r="H804" t="s">
        <v>37</v>
      </c>
      <c r="I804" t="s">
        <v>24</v>
      </c>
      <c r="J804">
        <v>12</v>
      </c>
      <c r="K804" s="1">
        <v>45824</v>
      </c>
      <c r="L804" s="1">
        <v>45838</v>
      </c>
      <c r="M804" t="s">
        <v>25</v>
      </c>
      <c r="N804" t="s">
        <v>26</v>
      </c>
      <c r="O804">
        <v>216208.19</v>
      </c>
      <c r="P804">
        <v>162156.14000000001</v>
      </c>
      <c r="Q804">
        <v>54052.05</v>
      </c>
      <c r="R804" t="s">
        <v>27</v>
      </c>
      <c r="S804">
        <f t="shared" si="36"/>
        <v>14</v>
      </c>
      <c r="T804" s="2">
        <f t="shared" si="37"/>
        <v>0.74999998843707083</v>
      </c>
      <c r="U804" s="2">
        <f t="shared" si="38"/>
        <v>0.25000001156292923</v>
      </c>
    </row>
    <row r="805" spans="1:21" x14ac:dyDescent="0.3">
      <c r="A805">
        <v>10804</v>
      </c>
      <c r="B805" t="s">
        <v>64</v>
      </c>
      <c r="C805" t="s">
        <v>65</v>
      </c>
      <c r="D805" t="s">
        <v>20</v>
      </c>
      <c r="E805">
        <v>27</v>
      </c>
      <c r="F805" t="s">
        <v>31</v>
      </c>
      <c r="G805" t="s">
        <v>70</v>
      </c>
      <c r="H805" t="s">
        <v>71</v>
      </c>
      <c r="I805" t="s">
        <v>43</v>
      </c>
      <c r="J805">
        <v>11</v>
      </c>
      <c r="K805" s="1">
        <v>45986</v>
      </c>
      <c r="L805" s="1">
        <v>45996</v>
      </c>
      <c r="M805" t="s">
        <v>44</v>
      </c>
      <c r="N805" t="s">
        <v>26</v>
      </c>
      <c r="O805">
        <v>24196.639999999999</v>
      </c>
      <c r="P805">
        <v>16453.72</v>
      </c>
      <c r="Q805">
        <v>7742.92</v>
      </c>
      <c r="R805" t="s">
        <v>27</v>
      </c>
      <c r="S805">
        <f t="shared" si="36"/>
        <v>10</v>
      </c>
      <c r="T805" s="2">
        <f t="shared" si="37"/>
        <v>0.68000019837465042</v>
      </c>
      <c r="U805" s="2">
        <f t="shared" si="38"/>
        <v>0.31999980162534963</v>
      </c>
    </row>
    <row r="806" spans="1:21" x14ac:dyDescent="0.3">
      <c r="A806">
        <v>10805</v>
      </c>
      <c r="B806" t="s">
        <v>86</v>
      </c>
      <c r="C806" t="s">
        <v>87</v>
      </c>
      <c r="D806" t="s">
        <v>30</v>
      </c>
      <c r="E806">
        <v>23</v>
      </c>
      <c r="F806" t="s">
        <v>31</v>
      </c>
      <c r="G806" t="s">
        <v>22</v>
      </c>
      <c r="H806" t="s">
        <v>23</v>
      </c>
      <c r="I806" t="s">
        <v>24</v>
      </c>
      <c r="J806">
        <v>15</v>
      </c>
      <c r="K806" s="1">
        <v>45720</v>
      </c>
      <c r="L806" s="1">
        <v>45728</v>
      </c>
      <c r="M806" t="s">
        <v>25</v>
      </c>
      <c r="N806" t="s">
        <v>26</v>
      </c>
      <c r="O806">
        <v>219291.24</v>
      </c>
      <c r="P806">
        <v>140346.39000000001</v>
      </c>
      <c r="Q806">
        <v>78944.850000000006</v>
      </c>
      <c r="R806" t="s">
        <v>32</v>
      </c>
      <c r="S806">
        <f t="shared" si="36"/>
        <v>8</v>
      </c>
      <c r="T806" s="2">
        <f t="shared" si="37"/>
        <v>0.63999998358347565</v>
      </c>
      <c r="U806" s="2">
        <f t="shared" si="38"/>
        <v>0.36000001641652446</v>
      </c>
    </row>
    <row r="807" spans="1:21" x14ac:dyDescent="0.3">
      <c r="A807">
        <v>10806</v>
      </c>
      <c r="B807" t="s">
        <v>146</v>
      </c>
      <c r="C807" t="s">
        <v>147</v>
      </c>
      <c r="D807" t="s">
        <v>30</v>
      </c>
      <c r="E807">
        <v>75</v>
      </c>
      <c r="F807" t="s">
        <v>84</v>
      </c>
      <c r="G807" t="s">
        <v>55</v>
      </c>
      <c r="H807" t="s">
        <v>56</v>
      </c>
      <c r="I807" t="s">
        <v>49</v>
      </c>
      <c r="J807">
        <v>10</v>
      </c>
      <c r="K807" s="1">
        <v>45817</v>
      </c>
      <c r="L807" s="1">
        <v>45827</v>
      </c>
      <c r="M807" t="s">
        <v>101</v>
      </c>
      <c r="N807" t="s">
        <v>51</v>
      </c>
      <c r="O807">
        <v>28620.41</v>
      </c>
      <c r="P807">
        <v>21751.51</v>
      </c>
      <c r="Q807">
        <v>6868.9</v>
      </c>
      <c r="R807" t="s">
        <v>27</v>
      </c>
      <c r="S807">
        <f t="shared" si="36"/>
        <v>10</v>
      </c>
      <c r="T807" s="2">
        <f t="shared" si="37"/>
        <v>0.75999994409583926</v>
      </c>
      <c r="U807" s="2">
        <f t="shared" si="38"/>
        <v>0.24000005590416068</v>
      </c>
    </row>
    <row r="808" spans="1:21" x14ac:dyDescent="0.3">
      <c r="A808">
        <v>10807</v>
      </c>
      <c r="B808" t="s">
        <v>135</v>
      </c>
      <c r="C808" t="s">
        <v>136</v>
      </c>
      <c r="D808" t="s">
        <v>30</v>
      </c>
      <c r="E808">
        <v>52</v>
      </c>
      <c r="F808" t="s">
        <v>35</v>
      </c>
      <c r="G808" t="s">
        <v>41</v>
      </c>
      <c r="H808" t="s">
        <v>42</v>
      </c>
      <c r="I808" t="s">
        <v>43</v>
      </c>
      <c r="J808">
        <v>9</v>
      </c>
      <c r="K808" s="1">
        <v>45794</v>
      </c>
      <c r="L808" s="1">
        <v>45799</v>
      </c>
      <c r="M808" t="s">
        <v>44</v>
      </c>
      <c r="N808" t="s">
        <v>26</v>
      </c>
      <c r="O808">
        <v>30055.7</v>
      </c>
      <c r="P808">
        <v>19836.759999999998</v>
      </c>
      <c r="Q808">
        <v>10218.94</v>
      </c>
      <c r="R808" t="s">
        <v>32</v>
      </c>
      <c r="S808">
        <f t="shared" si="36"/>
        <v>5</v>
      </c>
      <c r="T808" s="2">
        <f t="shared" si="37"/>
        <v>0.65999993345688168</v>
      </c>
      <c r="U808" s="2">
        <f t="shared" si="38"/>
        <v>0.34000006654311826</v>
      </c>
    </row>
    <row r="809" spans="1:21" x14ac:dyDescent="0.3">
      <c r="A809">
        <v>10808</v>
      </c>
      <c r="B809" t="s">
        <v>90</v>
      </c>
      <c r="C809" t="s">
        <v>91</v>
      </c>
      <c r="D809" t="s">
        <v>20</v>
      </c>
      <c r="E809">
        <v>48</v>
      </c>
      <c r="F809" t="s">
        <v>84</v>
      </c>
      <c r="G809" t="s">
        <v>47</v>
      </c>
      <c r="H809" t="s">
        <v>48</v>
      </c>
      <c r="I809" t="s">
        <v>49</v>
      </c>
      <c r="J809">
        <v>8</v>
      </c>
      <c r="K809" s="1">
        <v>45668</v>
      </c>
      <c r="L809" s="1">
        <v>45673</v>
      </c>
      <c r="M809" t="s">
        <v>50</v>
      </c>
      <c r="N809" t="s">
        <v>26</v>
      </c>
      <c r="O809">
        <v>297588.28999999998</v>
      </c>
      <c r="P809">
        <v>238070.63</v>
      </c>
      <c r="Q809">
        <v>59517.66</v>
      </c>
      <c r="R809" t="s">
        <v>32</v>
      </c>
      <c r="S809">
        <f t="shared" si="36"/>
        <v>5</v>
      </c>
      <c r="T809" s="2">
        <f t="shared" si="37"/>
        <v>0.79999999327930549</v>
      </c>
      <c r="U809" s="2">
        <f t="shared" si="38"/>
        <v>0.20000000672069457</v>
      </c>
    </row>
    <row r="810" spans="1:21" x14ac:dyDescent="0.3">
      <c r="A810">
        <v>10809</v>
      </c>
      <c r="B810" t="s">
        <v>33</v>
      </c>
      <c r="C810" t="s">
        <v>34</v>
      </c>
      <c r="D810" t="s">
        <v>20</v>
      </c>
      <c r="E810">
        <v>26</v>
      </c>
      <c r="F810" t="s">
        <v>35</v>
      </c>
      <c r="G810" t="s">
        <v>60</v>
      </c>
      <c r="H810" t="s">
        <v>61</v>
      </c>
      <c r="I810" t="s">
        <v>62</v>
      </c>
      <c r="J810">
        <v>18</v>
      </c>
      <c r="K810" s="1">
        <v>45846</v>
      </c>
      <c r="L810" s="1">
        <v>45851</v>
      </c>
      <c r="M810" t="s">
        <v>63</v>
      </c>
      <c r="N810" t="s">
        <v>26</v>
      </c>
      <c r="O810">
        <v>33344.129999999997</v>
      </c>
      <c r="P810">
        <v>20673.36</v>
      </c>
      <c r="Q810">
        <v>12670.77</v>
      </c>
      <c r="R810" t="s">
        <v>32</v>
      </c>
      <c r="S810">
        <f t="shared" si="36"/>
        <v>5</v>
      </c>
      <c r="T810" s="2">
        <f t="shared" si="37"/>
        <v>0.6199999820058284</v>
      </c>
      <c r="U810" s="2">
        <f t="shared" si="38"/>
        <v>0.38000001799417171</v>
      </c>
    </row>
    <row r="811" spans="1:21" x14ac:dyDescent="0.3">
      <c r="A811">
        <v>10810</v>
      </c>
      <c r="B811" t="s">
        <v>97</v>
      </c>
      <c r="C811" t="s">
        <v>98</v>
      </c>
      <c r="D811" t="s">
        <v>20</v>
      </c>
      <c r="E811">
        <v>43</v>
      </c>
      <c r="F811" t="s">
        <v>69</v>
      </c>
      <c r="G811" t="s">
        <v>60</v>
      </c>
      <c r="H811" t="s">
        <v>61</v>
      </c>
      <c r="I811" t="s">
        <v>62</v>
      </c>
      <c r="J811">
        <v>18</v>
      </c>
      <c r="K811" s="1">
        <v>45988</v>
      </c>
      <c r="L811" s="1">
        <v>46002</v>
      </c>
      <c r="M811" t="s">
        <v>77</v>
      </c>
      <c r="N811" t="s">
        <v>26</v>
      </c>
      <c r="O811">
        <v>42910.14</v>
      </c>
      <c r="P811">
        <v>26604.29</v>
      </c>
      <c r="Q811">
        <v>16305.85</v>
      </c>
      <c r="R811" t="s">
        <v>32</v>
      </c>
      <c r="S811">
        <f t="shared" si="36"/>
        <v>14</v>
      </c>
      <c r="T811" s="2">
        <f t="shared" si="37"/>
        <v>0.62000007457444795</v>
      </c>
      <c r="U811" s="2">
        <f t="shared" si="38"/>
        <v>0.37999992542555211</v>
      </c>
    </row>
    <row r="812" spans="1:21" x14ac:dyDescent="0.3">
      <c r="A812">
        <v>10811</v>
      </c>
      <c r="B812" t="s">
        <v>115</v>
      </c>
      <c r="C812" t="s">
        <v>116</v>
      </c>
      <c r="D812" t="s">
        <v>30</v>
      </c>
      <c r="E812">
        <v>18</v>
      </c>
      <c r="F812" t="s">
        <v>31</v>
      </c>
      <c r="G812" t="s">
        <v>70</v>
      </c>
      <c r="H812" t="s">
        <v>71</v>
      </c>
      <c r="I812" t="s">
        <v>43</v>
      </c>
      <c r="J812">
        <v>11</v>
      </c>
      <c r="K812" s="1">
        <v>45985</v>
      </c>
      <c r="L812" s="1">
        <v>45995</v>
      </c>
      <c r="M812" t="s">
        <v>44</v>
      </c>
      <c r="N812" t="s">
        <v>51</v>
      </c>
      <c r="O812">
        <v>27335.43</v>
      </c>
      <c r="P812">
        <v>19681.509999999998</v>
      </c>
      <c r="Q812">
        <v>7653.92</v>
      </c>
      <c r="R812" t="s">
        <v>32</v>
      </c>
      <c r="S812">
        <f t="shared" si="36"/>
        <v>10</v>
      </c>
      <c r="T812" s="2">
        <f t="shared" si="37"/>
        <v>0.72000001463302377</v>
      </c>
      <c r="U812" s="2">
        <f t="shared" si="38"/>
        <v>0.27999998536697612</v>
      </c>
    </row>
    <row r="813" spans="1:21" x14ac:dyDescent="0.3">
      <c r="A813">
        <v>10812</v>
      </c>
      <c r="B813" t="s">
        <v>141</v>
      </c>
      <c r="C813" t="s">
        <v>142</v>
      </c>
      <c r="D813" t="s">
        <v>30</v>
      </c>
      <c r="E813">
        <v>47</v>
      </c>
      <c r="F813" t="s">
        <v>54</v>
      </c>
      <c r="G813" t="s">
        <v>36</v>
      </c>
      <c r="H813" t="s">
        <v>37</v>
      </c>
      <c r="I813" t="s">
        <v>24</v>
      </c>
      <c r="J813">
        <v>12</v>
      </c>
      <c r="K813" s="1">
        <v>45895</v>
      </c>
      <c r="L813" s="1">
        <v>45898</v>
      </c>
      <c r="M813" t="s">
        <v>76</v>
      </c>
      <c r="N813" t="s">
        <v>51</v>
      </c>
      <c r="O813">
        <v>292246.27</v>
      </c>
      <c r="P813">
        <v>242564.4</v>
      </c>
      <c r="Q813">
        <v>49681.87</v>
      </c>
      <c r="R813" t="s">
        <v>32</v>
      </c>
      <c r="S813">
        <f t="shared" si="36"/>
        <v>3</v>
      </c>
      <c r="T813" s="2">
        <f t="shared" si="37"/>
        <v>0.82999998597073621</v>
      </c>
      <c r="U813" s="2">
        <f t="shared" si="38"/>
        <v>0.17000001402926374</v>
      </c>
    </row>
    <row r="814" spans="1:21" x14ac:dyDescent="0.3">
      <c r="A814">
        <v>10813</v>
      </c>
      <c r="B814" t="s">
        <v>156</v>
      </c>
      <c r="C814" t="s">
        <v>157</v>
      </c>
      <c r="D814" t="s">
        <v>30</v>
      </c>
      <c r="E814">
        <v>47</v>
      </c>
      <c r="F814" t="s">
        <v>40</v>
      </c>
      <c r="G814" t="s">
        <v>22</v>
      </c>
      <c r="H814" t="s">
        <v>23</v>
      </c>
      <c r="I814" t="s">
        <v>24</v>
      </c>
      <c r="J814">
        <v>15</v>
      </c>
      <c r="K814" s="1">
        <v>45868</v>
      </c>
      <c r="L814" s="1">
        <v>45876</v>
      </c>
      <c r="M814" t="s">
        <v>66</v>
      </c>
      <c r="N814" t="s">
        <v>26</v>
      </c>
      <c r="O814">
        <v>73992.210000000006</v>
      </c>
      <c r="P814">
        <v>60673.61</v>
      </c>
      <c r="Q814">
        <v>13318.6</v>
      </c>
      <c r="R814" t="s">
        <v>32</v>
      </c>
      <c r="S814">
        <f t="shared" si="36"/>
        <v>8</v>
      </c>
      <c r="T814" s="2">
        <f t="shared" si="37"/>
        <v>0.81999997026714022</v>
      </c>
      <c r="U814" s="2">
        <f t="shared" si="38"/>
        <v>0.1800000297328597</v>
      </c>
    </row>
    <row r="815" spans="1:21" x14ac:dyDescent="0.3">
      <c r="A815">
        <v>10814</v>
      </c>
      <c r="B815" t="s">
        <v>123</v>
      </c>
      <c r="C815" t="s">
        <v>124</v>
      </c>
      <c r="D815" t="s">
        <v>30</v>
      </c>
      <c r="E815">
        <v>65</v>
      </c>
      <c r="F815" t="s">
        <v>35</v>
      </c>
      <c r="G815" t="s">
        <v>36</v>
      </c>
      <c r="H815" t="s">
        <v>37</v>
      </c>
      <c r="I815" t="s">
        <v>24</v>
      </c>
      <c r="J815">
        <v>12</v>
      </c>
      <c r="K815" s="1">
        <v>45665</v>
      </c>
      <c r="L815" s="1">
        <v>45676</v>
      </c>
      <c r="M815" t="s">
        <v>76</v>
      </c>
      <c r="N815" t="s">
        <v>26</v>
      </c>
      <c r="O815">
        <v>188646.99</v>
      </c>
      <c r="P815">
        <v>133939.35999999999</v>
      </c>
      <c r="Q815">
        <v>54707.63</v>
      </c>
      <c r="R815" t="s">
        <v>32</v>
      </c>
      <c r="S815">
        <f t="shared" si="36"/>
        <v>11</v>
      </c>
      <c r="T815" s="2">
        <f t="shared" si="37"/>
        <v>0.70999998462737202</v>
      </c>
      <c r="U815" s="2">
        <f t="shared" si="38"/>
        <v>0.29000001537262798</v>
      </c>
    </row>
    <row r="816" spans="1:21" x14ac:dyDescent="0.3">
      <c r="A816">
        <v>10815</v>
      </c>
      <c r="B816" t="s">
        <v>148</v>
      </c>
      <c r="C816" t="s">
        <v>149</v>
      </c>
      <c r="D816" t="s">
        <v>30</v>
      </c>
      <c r="E816">
        <v>19</v>
      </c>
      <c r="F816" t="s">
        <v>21</v>
      </c>
      <c r="G816" t="s">
        <v>60</v>
      </c>
      <c r="H816" t="s">
        <v>61</v>
      </c>
      <c r="I816" t="s">
        <v>62</v>
      </c>
      <c r="J816">
        <v>18</v>
      </c>
      <c r="K816" s="1">
        <v>45946</v>
      </c>
      <c r="L816" s="1">
        <v>45958</v>
      </c>
      <c r="M816" t="s">
        <v>63</v>
      </c>
      <c r="N816" t="s">
        <v>51</v>
      </c>
      <c r="O816">
        <v>33881.230000000003</v>
      </c>
      <c r="P816">
        <v>26766.17</v>
      </c>
      <c r="Q816">
        <v>7115.06</v>
      </c>
      <c r="R816" t="s">
        <v>32</v>
      </c>
      <c r="S816">
        <f t="shared" si="36"/>
        <v>12</v>
      </c>
      <c r="T816" s="2">
        <f t="shared" si="37"/>
        <v>0.78999994982472588</v>
      </c>
      <c r="U816" s="2">
        <f t="shared" si="38"/>
        <v>0.21000005017527404</v>
      </c>
    </row>
    <row r="817" spans="1:21" x14ac:dyDescent="0.3">
      <c r="A817">
        <v>10816</v>
      </c>
      <c r="B817" t="s">
        <v>117</v>
      </c>
      <c r="C817" t="s">
        <v>118</v>
      </c>
      <c r="D817" t="s">
        <v>20</v>
      </c>
      <c r="E817">
        <v>65</v>
      </c>
      <c r="F817" t="s">
        <v>119</v>
      </c>
      <c r="G817" t="s">
        <v>55</v>
      </c>
      <c r="H817" t="s">
        <v>56</v>
      </c>
      <c r="I817" t="s">
        <v>49</v>
      </c>
      <c r="J817">
        <v>10</v>
      </c>
      <c r="K817" s="1">
        <v>45776</v>
      </c>
      <c r="L817" s="1">
        <v>45786</v>
      </c>
      <c r="M817" t="s">
        <v>101</v>
      </c>
      <c r="N817" t="s">
        <v>51</v>
      </c>
      <c r="O817">
        <v>62985.93</v>
      </c>
      <c r="P817">
        <v>42830.43</v>
      </c>
      <c r="Q817">
        <v>20155.5</v>
      </c>
      <c r="R817" t="s">
        <v>32</v>
      </c>
      <c r="S817">
        <f t="shared" si="36"/>
        <v>10</v>
      </c>
      <c r="T817" s="2">
        <f t="shared" si="37"/>
        <v>0.67999996189625211</v>
      </c>
      <c r="U817" s="2">
        <f t="shared" si="38"/>
        <v>0.32000003810374794</v>
      </c>
    </row>
    <row r="818" spans="1:21" x14ac:dyDescent="0.3">
      <c r="A818">
        <v>10817</v>
      </c>
      <c r="B818" t="s">
        <v>150</v>
      </c>
      <c r="C818" t="s">
        <v>151</v>
      </c>
      <c r="D818" t="s">
        <v>30</v>
      </c>
      <c r="E818">
        <v>47</v>
      </c>
      <c r="F818" t="s">
        <v>54</v>
      </c>
      <c r="G818" t="s">
        <v>22</v>
      </c>
      <c r="H818" t="s">
        <v>23</v>
      </c>
      <c r="I818" t="s">
        <v>24</v>
      </c>
      <c r="J818">
        <v>15</v>
      </c>
      <c r="K818" s="1">
        <v>45674</v>
      </c>
      <c r="L818" s="1">
        <v>45681</v>
      </c>
      <c r="M818" t="s">
        <v>76</v>
      </c>
      <c r="N818" t="s">
        <v>26</v>
      </c>
      <c r="O818">
        <v>229129.4</v>
      </c>
      <c r="P818">
        <v>171847.05</v>
      </c>
      <c r="Q818">
        <v>57282.35</v>
      </c>
      <c r="R818" t="s">
        <v>32</v>
      </c>
      <c r="S818">
        <f t="shared" si="36"/>
        <v>7</v>
      </c>
      <c r="T818" s="2">
        <f t="shared" si="37"/>
        <v>0.75</v>
      </c>
      <c r="U818" s="2">
        <f t="shared" si="38"/>
        <v>0.25</v>
      </c>
    </row>
    <row r="819" spans="1:21" x14ac:dyDescent="0.3">
      <c r="A819">
        <v>10818</v>
      </c>
      <c r="B819" t="s">
        <v>120</v>
      </c>
      <c r="C819" t="s">
        <v>74</v>
      </c>
      <c r="D819" t="s">
        <v>20</v>
      </c>
      <c r="E819">
        <v>61</v>
      </c>
      <c r="F819" t="s">
        <v>69</v>
      </c>
      <c r="G819" t="s">
        <v>60</v>
      </c>
      <c r="H819" t="s">
        <v>61</v>
      </c>
      <c r="I819" t="s">
        <v>62</v>
      </c>
      <c r="J819">
        <v>18</v>
      </c>
      <c r="K819" s="1">
        <v>45787</v>
      </c>
      <c r="L819" s="1">
        <v>45790</v>
      </c>
      <c r="M819" t="s">
        <v>96</v>
      </c>
      <c r="N819" t="s">
        <v>51</v>
      </c>
      <c r="O819">
        <v>120968.8</v>
      </c>
      <c r="P819">
        <v>94355.66</v>
      </c>
      <c r="Q819">
        <v>26613.14</v>
      </c>
      <c r="R819" t="s">
        <v>27</v>
      </c>
      <c r="S819">
        <f t="shared" si="36"/>
        <v>3</v>
      </c>
      <c r="T819" s="2">
        <f t="shared" si="37"/>
        <v>0.77999996693362261</v>
      </c>
      <c r="U819" s="2">
        <f t="shared" si="38"/>
        <v>0.22000003306637744</v>
      </c>
    </row>
    <row r="820" spans="1:21" x14ac:dyDescent="0.3">
      <c r="A820">
        <v>10819</v>
      </c>
      <c r="B820" t="s">
        <v>154</v>
      </c>
      <c r="C820" t="s">
        <v>155</v>
      </c>
      <c r="D820" t="s">
        <v>30</v>
      </c>
      <c r="E820">
        <v>67</v>
      </c>
      <c r="F820" t="s">
        <v>119</v>
      </c>
      <c r="G820" t="s">
        <v>55</v>
      </c>
      <c r="H820" t="s">
        <v>56</v>
      </c>
      <c r="I820" t="s">
        <v>49</v>
      </c>
      <c r="J820">
        <v>10</v>
      </c>
      <c r="K820" s="1">
        <v>45853</v>
      </c>
      <c r="L820" s="1">
        <v>45855</v>
      </c>
      <c r="M820" t="s">
        <v>85</v>
      </c>
      <c r="N820" t="s">
        <v>26</v>
      </c>
      <c r="O820">
        <v>84572.72</v>
      </c>
      <c r="P820">
        <v>68503.899999999994</v>
      </c>
      <c r="Q820">
        <v>16068.82</v>
      </c>
      <c r="R820" t="s">
        <v>32</v>
      </c>
      <c r="S820">
        <f t="shared" si="36"/>
        <v>2</v>
      </c>
      <c r="T820" s="2">
        <f t="shared" si="37"/>
        <v>0.80999996216273984</v>
      </c>
      <c r="U820" s="2">
        <f t="shared" si="38"/>
        <v>0.19000003783726005</v>
      </c>
    </row>
    <row r="821" spans="1:21" x14ac:dyDescent="0.3">
      <c r="A821">
        <v>10820</v>
      </c>
      <c r="B821" t="s">
        <v>52</v>
      </c>
      <c r="C821" t="s">
        <v>53</v>
      </c>
      <c r="D821" t="s">
        <v>20</v>
      </c>
      <c r="E821">
        <v>49</v>
      </c>
      <c r="F821" t="s">
        <v>54</v>
      </c>
      <c r="G821" t="s">
        <v>60</v>
      </c>
      <c r="H821" t="s">
        <v>61</v>
      </c>
      <c r="I821" t="s">
        <v>62</v>
      </c>
      <c r="J821">
        <v>18</v>
      </c>
      <c r="K821" s="1">
        <v>45997</v>
      </c>
      <c r="L821" s="1">
        <v>46010</v>
      </c>
      <c r="M821" t="s">
        <v>96</v>
      </c>
      <c r="N821" t="s">
        <v>26</v>
      </c>
      <c r="O821">
        <v>193858.05</v>
      </c>
      <c r="P821">
        <v>143454.96</v>
      </c>
      <c r="Q821">
        <v>50403.09</v>
      </c>
      <c r="R821" t="s">
        <v>32</v>
      </c>
      <c r="S821">
        <f t="shared" si="36"/>
        <v>13</v>
      </c>
      <c r="T821" s="2">
        <f t="shared" si="37"/>
        <v>0.74000001547524075</v>
      </c>
      <c r="U821" s="2">
        <f t="shared" si="38"/>
        <v>0.2599999845247592</v>
      </c>
    </row>
    <row r="822" spans="1:21" x14ac:dyDescent="0.3">
      <c r="A822">
        <v>10821</v>
      </c>
      <c r="B822" t="s">
        <v>127</v>
      </c>
      <c r="C822" t="s">
        <v>128</v>
      </c>
      <c r="D822" t="s">
        <v>20</v>
      </c>
      <c r="E822">
        <v>41</v>
      </c>
      <c r="F822" t="s">
        <v>54</v>
      </c>
      <c r="G822" t="s">
        <v>70</v>
      </c>
      <c r="H822" t="s">
        <v>71</v>
      </c>
      <c r="I822" t="s">
        <v>43</v>
      </c>
      <c r="J822">
        <v>11</v>
      </c>
      <c r="K822" s="1">
        <v>45983</v>
      </c>
      <c r="L822" s="1">
        <v>45991</v>
      </c>
      <c r="M822" t="s">
        <v>72</v>
      </c>
      <c r="N822" t="s">
        <v>51</v>
      </c>
      <c r="O822">
        <v>15557.67</v>
      </c>
      <c r="P822">
        <v>11045.95</v>
      </c>
      <c r="Q822">
        <v>4511.72</v>
      </c>
      <c r="R822" t="s">
        <v>32</v>
      </c>
      <c r="S822">
        <f t="shared" si="36"/>
        <v>8</v>
      </c>
      <c r="T822" s="2">
        <f t="shared" si="37"/>
        <v>0.71000027639100205</v>
      </c>
      <c r="U822" s="2">
        <f t="shared" si="38"/>
        <v>0.28999972360899801</v>
      </c>
    </row>
    <row r="823" spans="1:21" x14ac:dyDescent="0.3">
      <c r="A823">
        <v>10822</v>
      </c>
      <c r="B823" t="s">
        <v>162</v>
      </c>
      <c r="C823" t="s">
        <v>91</v>
      </c>
      <c r="D823" t="s">
        <v>30</v>
      </c>
      <c r="E823">
        <v>39</v>
      </c>
      <c r="F823" t="s">
        <v>119</v>
      </c>
      <c r="G823" t="s">
        <v>47</v>
      </c>
      <c r="H823" t="s">
        <v>48</v>
      </c>
      <c r="I823" t="s">
        <v>49</v>
      </c>
      <c r="J823">
        <v>8</v>
      </c>
      <c r="K823" s="1">
        <v>45914</v>
      </c>
      <c r="L823" s="1">
        <v>45917</v>
      </c>
      <c r="M823" t="s">
        <v>101</v>
      </c>
      <c r="N823" t="s">
        <v>51</v>
      </c>
      <c r="O823">
        <v>24407.07</v>
      </c>
      <c r="P823">
        <v>18061.23</v>
      </c>
      <c r="Q823">
        <v>6345.84</v>
      </c>
      <c r="R823" t="s">
        <v>27</v>
      </c>
      <c r="S823">
        <f t="shared" si="36"/>
        <v>3</v>
      </c>
      <c r="T823" s="2">
        <f t="shared" si="37"/>
        <v>0.73999992625087729</v>
      </c>
      <c r="U823" s="2">
        <f t="shared" si="38"/>
        <v>0.26000007374912271</v>
      </c>
    </row>
    <row r="824" spans="1:21" x14ac:dyDescent="0.3">
      <c r="A824">
        <v>10823</v>
      </c>
      <c r="B824" t="s">
        <v>110</v>
      </c>
      <c r="C824" t="s">
        <v>111</v>
      </c>
      <c r="D824" t="s">
        <v>20</v>
      </c>
      <c r="E824">
        <v>44</v>
      </c>
      <c r="F824" t="s">
        <v>35</v>
      </c>
      <c r="G824" t="s">
        <v>47</v>
      </c>
      <c r="H824" t="s">
        <v>48</v>
      </c>
      <c r="I824" t="s">
        <v>49</v>
      </c>
      <c r="J824">
        <v>8</v>
      </c>
      <c r="K824" s="1">
        <v>45839</v>
      </c>
      <c r="L824" s="1">
        <v>45844</v>
      </c>
      <c r="M824" t="s">
        <v>50</v>
      </c>
      <c r="N824" t="s">
        <v>51</v>
      </c>
      <c r="O824">
        <v>278513.06</v>
      </c>
      <c r="P824">
        <v>194959.14</v>
      </c>
      <c r="Q824">
        <v>83553.919999999998</v>
      </c>
      <c r="R824" t="s">
        <v>32</v>
      </c>
      <c r="S824">
        <f t="shared" si="36"/>
        <v>5</v>
      </c>
      <c r="T824" s="2">
        <f t="shared" si="37"/>
        <v>0.69999999281900827</v>
      </c>
      <c r="U824" s="2">
        <f t="shared" si="38"/>
        <v>0.30000000718099179</v>
      </c>
    </row>
    <row r="825" spans="1:21" x14ac:dyDescent="0.3">
      <c r="A825">
        <v>10824</v>
      </c>
      <c r="B825" t="s">
        <v>64</v>
      </c>
      <c r="C825" t="s">
        <v>65</v>
      </c>
      <c r="D825" t="s">
        <v>20</v>
      </c>
      <c r="E825">
        <v>27</v>
      </c>
      <c r="F825" t="s">
        <v>31</v>
      </c>
      <c r="G825" t="s">
        <v>41</v>
      </c>
      <c r="H825" t="s">
        <v>42</v>
      </c>
      <c r="I825" t="s">
        <v>43</v>
      </c>
      <c r="J825">
        <v>9</v>
      </c>
      <c r="K825" s="1">
        <v>45785</v>
      </c>
      <c r="L825" s="1">
        <v>45791</v>
      </c>
      <c r="M825" t="s">
        <v>72</v>
      </c>
      <c r="N825" t="s">
        <v>51</v>
      </c>
      <c r="O825">
        <v>14896.61</v>
      </c>
      <c r="P825">
        <v>9682.7999999999993</v>
      </c>
      <c r="Q825">
        <v>5213.8100000000004</v>
      </c>
      <c r="R825" t="s">
        <v>32</v>
      </c>
      <c r="S825">
        <f t="shared" si="36"/>
        <v>6</v>
      </c>
      <c r="T825" s="2">
        <f t="shared" si="37"/>
        <v>0.65000023495278447</v>
      </c>
      <c r="U825" s="2">
        <f t="shared" si="38"/>
        <v>0.34999976504721547</v>
      </c>
    </row>
    <row r="826" spans="1:21" x14ac:dyDescent="0.3">
      <c r="A826">
        <v>10825</v>
      </c>
      <c r="B826" t="s">
        <v>86</v>
      </c>
      <c r="C826" t="s">
        <v>87</v>
      </c>
      <c r="D826" t="s">
        <v>30</v>
      </c>
      <c r="E826">
        <v>23</v>
      </c>
      <c r="F826" t="s">
        <v>31</v>
      </c>
      <c r="G826" t="s">
        <v>36</v>
      </c>
      <c r="H826" t="s">
        <v>37</v>
      </c>
      <c r="I826" t="s">
        <v>24</v>
      </c>
      <c r="J826">
        <v>12</v>
      </c>
      <c r="K826" s="1">
        <v>45671</v>
      </c>
      <c r="L826" s="1">
        <v>45680</v>
      </c>
      <c r="M826" t="s">
        <v>76</v>
      </c>
      <c r="N826" t="s">
        <v>26</v>
      </c>
      <c r="O826">
        <v>270167.75</v>
      </c>
      <c r="P826">
        <v>218835.88</v>
      </c>
      <c r="Q826">
        <v>51331.87</v>
      </c>
      <c r="R826" t="s">
        <v>32</v>
      </c>
      <c r="S826">
        <f t="shared" si="36"/>
        <v>9</v>
      </c>
      <c r="T826" s="2">
        <f t="shared" si="37"/>
        <v>0.81000000925351012</v>
      </c>
      <c r="U826" s="2">
        <f t="shared" si="38"/>
        <v>0.18999999074648993</v>
      </c>
    </row>
    <row r="827" spans="1:21" x14ac:dyDescent="0.3">
      <c r="A827">
        <v>10826</v>
      </c>
      <c r="B827" t="s">
        <v>158</v>
      </c>
      <c r="C827" t="s">
        <v>159</v>
      </c>
      <c r="D827" t="s">
        <v>30</v>
      </c>
      <c r="E827">
        <v>18</v>
      </c>
      <c r="F827" t="s">
        <v>35</v>
      </c>
      <c r="G827" t="s">
        <v>41</v>
      </c>
      <c r="H827" t="s">
        <v>42</v>
      </c>
      <c r="I827" t="s">
        <v>43</v>
      </c>
      <c r="J827">
        <v>9</v>
      </c>
      <c r="K827" s="1">
        <v>45809</v>
      </c>
      <c r="L827" s="1">
        <v>45822</v>
      </c>
      <c r="M827" t="s">
        <v>44</v>
      </c>
      <c r="N827" t="s">
        <v>26</v>
      </c>
      <c r="O827">
        <v>15705.38</v>
      </c>
      <c r="P827">
        <v>9894.39</v>
      </c>
      <c r="Q827">
        <v>5810.99</v>
      </c>
      <c r="R827" t="s">
        <v>27</v>
      </c>
      <c r="S827">
        <f t="shared" si="36"/>
        <v>13</v>
      </c>
      <c r="T827" s="2">
        <f t="shared" si="37"/>
        <v>0.63000003820346917</v>
      </c>
      <c r="U827" s="2">
        <f t="shared" si="38"/>
        <v>0.36999996179653089</v>
      </c>
    </row>
    <row r="828" spans="1:21" x14ac:dyDescent="0.3">
      <c r="A828">
        <v>10827</v>
      </c>
      <c r="B828" t="s">
        <v>121</v>
      </c>
      <c r="C828" t="s">
        <v>122</v>
      </c>
      <c r="D828" t="s">
        <v>20</v>
      </c>
      <c r="E828">
        <v>23</v>
      </c>
      <c r="F828" t="s">
        <v>59</v>
      </c>
      <c r="G828" t="s">
        <v>55</v>
      </c>
      <c r="H828" t="s">
        <v>56</v>
      </c>
      <c r="I828" t="s">
        <v>49</v>
      </c>
      <c r="J828">
        <v>10</v>
      </c>
      <c r="K828" s="1">
        <v>45664</v>
      </c>
      <c r="L828" s="1">
        <v>45669</v>
      </c>
      <c r="M828" t="s">
        <v>50</v>
      </c>
      <c r="N828" t="s">
        <v>26</v>
      </c>
      <c r="O828">
        <v>232859.81</v>
      </c>
      <c r="P828">
        <v>188616.45</v>
      </c>
      <c r="Q828">
        <v>44243.360000000001</v>
      </c>
      <c r="R828" t="s">
        <v>27</v>
      </c>
      <c r="S828">
        <f t="shared" si="36"/>
        <v>5</v>
      </c>
      <c r="T828" s="2">
        <f t="shared" si="37"/>
        <v>0.81000001674827449</v>
      </c>
      <c r="U828" s="2">
        <f t="shared" si="38"/>
        <v>0.18999998325172557</v>
      </c>
    </row>
    <row r="829" spans="1:21" x14ac:dyDescent="0.3">
      <c r="A829">
        <v>10828</v>
      </c>
      <c r="B829" t="s">
        <v>92</v>
      </c>
      <c r="C829" t="s">
        <v>93</v>
      </c>
      <c r="D829" t="s">
        <v>20</v>
      </c>
      <c r="E829">
        <v>40</v>
      </c>
      <c r="F829" t="s">
        <v>54</v>
      </c>
      <c r="G829" t="s">
        <v>60</v>
      </c>
      <c r="H829" t="s">
        <v>61</v>
      </c>
      <c r="I829" t="s">
        <v>62</v>
      </c>
      <c r="J829">
        <v>18</v>
      </c>
      <c r="K829" s="1">
        <v>45703</v>
      </c>
      <c r="L829" s="1">
        <v>45706</v>
      </c>
      <c r="M829" t="s">
        <v>63</v>
      </c>
      <c r="N829" t="s">
        <v>26</v>
      </c>
      <c r="O829">
        <v>40506.43</v>
      </c>
      <c r="P829">
        <v>24708.92</v>
      </c>
      <c r="Q829">
        <v>15797.51</v>
      </c>
      <c r="R829" t="s">
        <v>27</v>
      </c>
      <c r="S829">
        <f t="shared" si="36"/>
        <v>3</v>
      </c>
      <c r="T829" s="2">
        <f t="shared" si="37"/>
        <v>0.60999994321889139</v>
      </c>
      <c r="U829" s="2">
        <f t="shared" si="38"/>
        <v>0.39000005678110861</v>
      </c>
    </row>
    <row r="830" spans="1:21" x14ac:dyDescent="0.3">
      <c r="A830">
        <v>10829</v>
      </c>
      <c r="B830" t="s">
        <v>110</v>
      </c>
      <c r="C830" t="s">
        <v>111</v>
      </c>
      <c r="D830" t="s">
        <v>20</v>
      </c>
      <c r="E830">
        <v>44</v>
      </c>
      <c r="F830" t="s">
        <v>35</v>
      </c>
      <c r="G830" t="s">
        <v>41</v>
      </c>
      <c r="H830" t="s">
        <v>42</v>
      </c>
      <c r="I830" t="s">
        <v>43</v>
      </c>
      <c r="J830">
        <v>9</v>
      </c>
      <c r="K830" s="1">
        <v>45806</v>
      </c>
      <c r="L830" s="1">
        <v>45817</v>
      </c>
      <c r="M830" t="s">
        <v>112</v>
      </c>
      <c r="N830" t="s">
        <v>51</v>
      </c>
      <c r="O830">
        <v>65758.92</v>
      </c>
      <c r="P830">
        <v>40112.94</v>
      </c>
      <c r="Q830">
        <v>25645.98</v>
      </c>
      <c r="R830" t="s">
        <v>32</v>
      </c>
      <c r="S830">
        <f t="shared" si="36"/>
        <v>11</v>
      </c>
      <c r="T830" s="2">
        <f t="shared" si="37"/>
        <v>0.60999998175152514</v>
      </c>
      <c r="U830" s="2">
        <f t="shared" si="38"/>
        <v>0.39000001824847491</v>
      </c>
    </row>
    <row r="831" spans="1:21" x14ac:dyDescent="0.3">
      <c r="A831">
        <v>10830</v>
      </c>
      <c r="B831" t="s">
        <v>45</v>
      </c>
      <c r="C831" t="s">
        <v>46</v>
      </c>
      <c r="D831" t="s">
        <v>30</v>
      </c>
      <c r="E831">
        <v>45</v>
      </c>
      <c r="F831" t="s">
        <v>40</v>
      </c>
      <c r="G831" t="s">
        <v>70</v>
      </c>
      <c r="H831" t="s">
        <v>71</v>
      </c>
      <c r="I831" t="s">
        <v>43</v>
      </c>
      <c r="J831">
        <v>11</v>
      </c>
      <c r="K831" s="1">
        <v>45941</v>
      </c>
      <c r="L831" s="1">
        <v>45945</v>
      </c>
      <c r="M831" t="s">
        <v>44</v>
      </c>
      <c r="N831" t="s">
        <v>51</v>
      </c>
      <c r="O831">
        <v>31690.67</v>
      </c>
      <c r="P831">
        <v>24718.720000000001</v>
      </c>
      <c r="Q831">
        <v>6971.95</v>
      </c>
      <c r="R831" t="s">
        <v>32</v>
      </c>
      <c r="S831">
        <f t="shared" si="36"/>
        <v>4</v>
      </c>
      <c r="T831" s="2">
        <f t="shared" si="37"/>
        <v>0.77999991795692558</v>
      </c>
      <c r="U831" s="2">
        <f t="shared" si="38"/>
        <v>0.2200000820430745</v>
      </c>
    </row>
    <row r="832" spans="1:21" x14ac:dyDescent="0.3">
      <c r="A832">
        <v>10831</v>
      </c>
      <c r="B832" t="s">
        <v>135</v>
      </c>
      <c r="C832" t="s">
        <v>136</v>
      </c>
      <c r="D832" t="s">
        <v>30</v>
      </c>
      <c r="E832">
        <v>52</v>
      </c>
      <c r="F832" t="s">
        <v>35</v>
      </c>
      <c r="G832" t="s">
        <v>47</v>
      </c>
      <c r="H832" t="s">
        <v>48</v>
      </c>
      <c r="I832" t="s">
        <v>49</v>
      </c>
      <c r="J832">
        <v>8</v>
      </c>
      <c r="K832" s="1">
        <v>45853</v>
      </c>
      <c r="L832" s="1">
        <v>45865</v>
      </c>
      <c r="M832" t="s">
        <v>85</v>
      </c>
      <c r="N832" t="s">
        <v>26</v>
      </c>
      <c r="O832">
        <v>112818.8</v>
      </c>
      <c r="P832">
        <v>80101.350000000006</v>
      </c>
      <c r="Q832">
        <v>32717.45</v>
      </c>
      <c r="R832" t="s">
        <v>32</v>
      </c>
      <c r="S832">
        <f t="shared" si="36"/>
        <v>12</v>
      </c>
      <c r="T832" s="2">
        <f t="shared" si="37"/>
        <v>0.71000001772754184</v>
      </c>
      <c r="U832" s="2">
        <f t="shared" si="38"/>
        <v>0.28999998227245816</v>
      </c>
    </row>
    <row r="833" spans="1:21" x14ac:dyDescent="0.3">
      <c r="A833">
        <v>10832</v>
      </c>
      <c r="B833" t="s">
        <v>80</v>
      </c>
      <c r="C833" t="s">
        <v>81</v>
      </c>
      <c r="D833" t="s">
        <v>20</v>
      </c>
      <c r="E833">
        <v>65</v>
      </c>
      <c r="F833" t="s">
        <v>40</v>
      </c>
      <c r="G833" t="s">
        <v>22</v>
      </c>
      <c r="H833" t="s">
        <v>23</v>
      </c>
      <c r="I833" t="s">
        <v>24</v>
      </c>
      <c r="J833">
        <v>15</v>
      </c>
      <c r="K833" s="1">
        <v>45850</v>
      </c>
      <c r="L833" s="1">
        <v>45862</v>
      </c>
      <c r="M833" t="s">
        <v>76</v>
      </c>
      <c r="N833" t="s">
        <v>26</v>
      </c>
      <c r="O833">
        <v>447504.4</v>
      </c>
      <c r="P833">
        <v>308778.03999999998</v>
      </c>
      <c r="Q833">
        <v>138726.35999999999</v>
      </c>
      <c r="R833" t="s">
        <v>27</v>
      </c>
      <c r="S833">
        <f t="shared" si="36"/>
        <v>12</v>
      </c>
      <c r="T833" s="2">
        <f t="shared" si="37"/>
        <v>0.69000000893845947</v>
      </c>
      <c r="U833" s="2">
        <f t="shared" si="38"/>
        <v>0.30999999106154036</v>
      </c>
    </row>
    <row r="834" spans="1:21" x14ac:dyDescent="0.3">
      <c r="A834">
        <v>10833</v>
      </c>
      <c r="B834" t="s">
        <v>120</v>
      </c>
      <c r="C834" t="s">
        <v>74</v>
      </c>
      <c r="D834" t="s">
        <v>20</v>
      </c>
      <c r="E834">
        <v>61</v>
      </c>
      <c r="F834" t="s">
        <v>69</v>
      </c>
      <c r="G834" t="s">
        <v>22</v>
      </c>
      <c r="H834" t="s">
        <v>23</v>
      </c>
      <c r="I834" t="s">
        <v>24</v>
      </c>
      <c r="J834">
        <v>15</v>
      </c>
      <c r="K834" s="1">
        <v>45922</v>
      </c>
      <c r="L834" s="1">
        <v>45926</v>
      </c>
      <c r="M834" t="s">
        <v>25</v>
      </c>
      <c r="N834" t="s">
        <v>51</v>
      </c>
      <c r="O834">
        <v>102484.43</v>
      </c>
      <c r="P834">
        <v>79937.86</v>
      </c>
      <c r="Q834">
        <v>22546.57</v>
      </c>
      <c r="R834" t="s">
        <v>27</v>
      </c>
      <c r="S834">
        <f t="shared" si="36"/>
        <v>4</v>
      </c>
      <c r="T834" s="2">
        <f t="shared" si="37"/>
        <v>0.78000004488486696</v>
      </c>
      <c r="U834" s="2">
        <f t="shared" si="38"/>
        <v>0.21999995511513312</v>
      </c>
    </row>
    <row r="835" spans="1:21" x14ac:dyDescent="0.3">
      <c r="A835">
        <v>10834</v>
      </c>
      <c r="B835" t="s">
        <v>139</v>
      </c>
      <c r="C835" t="s">
        <v>140</v>
      </c>
      <c r="D835" t="s">
        <v>20</v>
      </c>
      <c r="E835">
        <v>21</v>
      </c>
      <c r="F835" t="s">
        <v>119</v>
      </c>
      <c r="G835" t="s">
        <v>55</v>
      </c>
      <c r="H835" t="s">
        <v>56</v>
      </c>
      <c r="I835" t="s">
        <v>49</v>
      </c>
      <c r="J835">
        <v>10</v>
      </c>
      <c r="K835" s="1">
        <v>45683</v>
      </c>
      <c r="L835" s="1">
        <v>45693</v>
      </c>
      <c r="M835" t="s">
        <v>101</v>
      </c>
      <c r="N835" t="s">
        <v>26</v>
      </c>
      <c r="O835">
        <v>47671.63</v>
      </c>
      <c r="P835">
        <v>37660.589999999997</v>
      </c>
      <c r="Q835">
        <v>10011.040000000001</v>
      </c>
      <c r="R835" t="s">
        <v>32</v>
      </c>
      <c r="S835">
        <f t="shared" ref="S835:S898" si="39">L835-K835</f>
        <v>10</v>
      </c>
      <c r="T835" s="2">
        <f t="shared" ref="T835:T898" si="40">P835/O835</f>
        <v>0.79000004824672454</v>
      </c>
      <c r="U835" s="2">
        <f t="shared" ref="U835:U898" si="41">Q835/O835</f>
        <v>0.20999995175327552</v>
      </c>
    </row>
    <row r="836" spans="1:21" x14ac:dyDescent="0.3">
      <c r="A836">
        <v>10835</v>
      </c>
      <c r="B836" t="s">
        <v>33</v>
      </c>
      <c r="C836" t="s">
        <v>34</v>
      </c>
      <c r="D836" t="s">
        <v>20</v>
      </c>
      <c r="E836">
        <v>26</v>
      </c>
      <c r="F836" t="s">
        <v>35</v>
      </c>
      <c r="G836" t="s">
        <v>47</v>
      </c>
      <c r="H836" t="s">
        <v>48</v>
      </c>
      <c r="I836" t="s">
        <v>49</v>
      </c>
      <c r="J836">
        <v>8</v>
      </c>
      <c r="K836" s="1">
        <v>45816</v>
      </c>
      <c r="L836" s="1">
        <v>45823</v>
      </c>
      <c r="M836" t="s">
        <v>101</v>
      </c>
      <c r="N836" t="s">
        <v>51</v>
      </c>
      <c r="O836">
        <v>36281.699999999997</v>
      </c>
      <c r="P836">
        <v>28299.73</v>
      </c>
      <c r="Q836">
        <v>7981.97</v>
      </c>
      <c r="R836" t="s">
        <v>32</v>
      </c>
      <c r="S836">
        <f t="shared" si="39"/>
        <v>7</v>
      </c>
      <c r="T836" s="2">
        <f t="shared" si="40"/>
        <v>0.78000011024841731</v>
      </c>
      <c r="U836" s="2">
        <f t="shared" si="41"/>
        <v>0.21999988975158277</v>
      </c>
    </row>
    <row r="837" spans="1:21" x14ac:dyDescent="0.3">
      <c r="A837">
        <v>10836</v>
      </c>
      <c r="B837" t="s">
        <v>99</v>
      </c>
      <c r="C837" t="s">
        <v>100</v>
      </c>
      <c r="D837" t="s">
        <v>30</v>
      </c>
      <c r="E837">
        <v>68</v>
      </c>
      <c r="F837" t="s">
        <v>69</v>
      </c>
      <c r="G837" t="s">
        <v>55</v>
      </c>
      <c r="H837" t="s">
        <v>56</v>
      </c>
      <c r="I837" t="s">
        <v>49</v>
      </c>
      <c r="J837">
        <v>10</v>
      </c>
      <c r="K837" s="1">
        <v>46005</v>
      </c>
      <c r="L837" s="1">
        <v>46009</v>
      </c>
      <c r="M837" t="s">
        <v>50</v>
      </c>
      <c r="N837" t="s">
        <v>26</v>
      </c>
      <c r="O837">
        <v>228821.7</v>
      </c>
      <c r="P837">
        <v>171616.28</v>
      </c>
      <c r="Q837">
        <v>57205.42</v>
      </c>
      <c r="R837" t="s">
        <v>32</v>
      </c>
      <c r="S837">
        <f t="shared" si="39"/>
        <v>4</v>
      </c>
      <c r="T837" s="2">
        <f t="shared" si="40"/>
        <v>0.75000002185107439</v>
      </c>
      <c r="U837" s="2">
        <f t="shared" si="41"/>
        <v>0.24999997814892555</v>
      </c>
    </row>
    <row r="838" spans="1:21" x14ac:dyDescent="0.3">
      <c r="A838">
        <v>10837</v>
      </c>
      <c r="B838" t="s">
        <v>121</v>
      </c>
      <c r="C838" t="s">
        <v>122</v>
      </c>
      <c r="D838" t="s">
        <v>20</v>
      </c>
      <c r="E838">
        <v>23</v>
      </c>
      <c r="F838" t="s">
        <v>59</v>
      </c>
      <c r="G838" t="s">
        <v>55</v>
      </c>
      <c r="H838" t="s">
        <v>56</v>
      </c>
      <c r="I838" t="s">
        <v>49</v>
      </c>
      <c r="J838">
        <v>10</v>
      </c>
      <c r="K838" s="1">
        <v>45791</v>
      </c>
      <c r="L838" s="1">
        <v>45802</v>
      </c>
      <c r="M838" t="s">
        <v>101</v>
      </c>
      <c r="N838" t="s">
        <v>26</v>
      </c>
      <c r="O838">
        <v>54746.21</v>
      </c>
      <c r="P838">
        <v>37774.879999999997</v>
      </c>
      <c r="Q838">
        <v>16971.330000000002</v>
      </c>
      <c r="R838" t="s">
        <v>32</v>
      </c>
      <c r="S838">
        <f t="shared" si="39"/>
        <v>11</v>
      </c>
      <c r="T838" s="2">
        <f t="shared" si="40"/>
        <v>0.68999991049608722</v>
      </c>
      <c r="U838" s="2">
        <f t="shared" si="41"/>
        <v>0.31000008950391272</v>
      </c>
    </row>
    <row r="839" spans="1:21" x14ac:dyDescent="0.3">
      <c r="A839">
        <v>10838</v>
      </c>
      <c r="B839" t="s">
        <v>99</v>
      </c>
      <c r="C839" t="s">
        <v>100</v>
      </c>
      <c r="D839" t="s">
        <v>30</v>
      </c>
      <c r="E839">
        <v>68</v>
      </c>
      <c r="F839" t="s">
        <v>69</v>
      </c>
      <c r="G839" t="s">
        <v>47</v>
      </c>
      <c r="H839" t="s">
        <v>48</v>
      </c>
      <c r="I839" t="s">
        <v>49</v>
      </c>
      <c r="J839">
        <v>8</v>
      </c>
      <c r="K839" s="1">
        <v>45736</v>
      </c>
      <c r="L839" s="1">
        <v>45738</v>
      </c>
      <c r="M839" t="s">
        <v>101</v>
      </c>
      <c r="N839" t="s">
        <v>51</v>
      </c>
      <c r="O839">
        <v>42994.44</v>
      </c>
      <c r="P839">
        <v>26226.61</v>
      </c>
      <c r="Q839">
        <v>16767.830000000002</v>
      </c>
      <c r="R839" t="s">
        <v>27</v>
      </c>
      <c r="S839">
        <f t="shared" si="39"/>
        <v>2</v>
      </c>
      <c r="T839" s="2">
        <f t="shared" si="40"/>
        <v>0.61000003721411422</v>
      </c>
      <c r="U839" s="2">
        <f t="shared" si="41"/>
        <v>0.38999996278588583</v>
      </c>
    </row>
    <row r="840" spans="1:21" x14ac:dyDescent="0.3">
      <c r="A840">
        <v>10839</v>
      </c>
      <c r="B840" t="s">
        <v>80</v>
      </c>
      <c r="C840" t="s">
        <v>81</v>
      </c>
      <c r="D840" t="s">
        <v>20</v>
      </c>
      <c r="E840">
        <v>65</v>
      </c>
      <c r="F840" t="s">
        <v>40</v>
      </c>
      <c r="G840" t="s">
        <v>22</v>
      </c>
      <c r="H840" t="s">
        <v>23</v>
      </c>
      <c r="I840" t="s">
        <v>24</v>
      </c>
      <c r="J840">
        <v>15</v>
      </c>
      <c r="K840" s="1">
        <v>45964</v>
      </c>
      <c r="L840" s="1">
        <v>45974</v>
      </c>
      <c r="M840" t="s">
        <v>25</v>
      </c>
      <c r="N840" t="s">
        <v>26</v>
      </c>
      <c r="O840">
        <v>179379.93</v>
      </c>
      <c r="P840">
        <v>125565.95</v>
      </c>
      <c r="Q840">
        <v>53813.98</v>
      </c>
      <c r="R840" t="s">
        <v>27</v>
      </c>
      <c r="S840">
        <f t="shared" si="39"/>
        <v>10</v>
      </c>
      <c r="T840" s="2">
        <f t="shared" si="40"/>
        <v>0.6999999944252403</v>
      </c>
      <c r="U840" s="2">
        <f t="shared" si="41"/>
        <v>0.3000000055747597</v>
      </c>
    </row>
    <row r="841" spans="1:21" x14ac:dyDescent="0.3">
      <c r="A841">
        <v>10840</v>
      </c>
      <c r="B841" t="s">
        <v>104</v>
      </c>
      <c r="C841" t="s">
        <v>105</v>
      </c>
      <c r="D841" t="s">
        <v>30</v>
      </c>
      <c r="E841">
        <v>68</v>
      </c>
      <c r="F841" t="s">
        <v>21</v>
      </c>
      <c r="G841" t="s">
        <v>88</v>
      </c>
      <c r="H841" t="s">
        <v>89</v>
      </c>
      <c r="I841" t="s">
        <v>62</v>
      </c>
      <c r="J841">
        <v>14</v>
      </c>
      <c r="K841" s="1">
        <v>45722</v>
      </c>
      <c r="L841" s="1">
        <v>45724</v>
      </c>
      <c r="M841" t="s">
        <v>63</v>
      </c>
      <c r="N841" t="s">
        <v>26</v>
      </c>
      <c r="O841">
        <v>22625.439999999999</v>
      </c>
      <c r="P841">
        <v>19005.37</v>
      </c>
      <c r="Q841">
        <v>3620.07</v>
      </c>
      <c r="R841" t="s">
        <v>27</v>
      </c>
      <c r="S841">
        <f t="shared" si="39"/>
        <v>2</v>
      </c>
      <c r="T841" s="2">
        <f t="shared" si="40"/>
        <v>0.84000001767921417</v>
      </c>
      <c r="U841" s="2">
        <f t="shared" si="41"/>
        <v>0.15999998232078583</v>
      </c>
    </row>
    <row r="842" spans="1:21" x14ac:dyDescent="0.3">
      <c r="A842">
        <v>10841</v>
      </c>
      <c r="B842" t="s">
        <v>152</v>
      </c>
      <c r="C842" t="s">
        <v>153</v>
      </c>
      <c r="D842" t="s">
        <v>20</v>
      </c>
      <c r="E842">
        <v>27</v>
      </c>
      <c r="F842" t="s">
        <v>59</v>
      </c>
      <c r="G842" t="s">
        <v>70</v>
      </c>
      <c r="H842" t="s">
        <v>71</v>
      </c>
      <c r="I842" t="s">
        <v>43</v>
      </c>
      <c r="J842">
        <v>11</v>
      </c>
      <c r="K842" s="1">
        <v>45685</v>
      </c>
      <c r="L842" s="1">
        <v>45692</v>
      </c>
      <c r="M842" t="s">
        <v>44</v>
      </c>
      <c r="N842" t="s">
        <v>26</v>
      </c>
      <c r="O842">
        <v>15999.99</v>
      </c>
      <c r="P842">
        <v>9919.99</v>
      </c>
      <c r="Q842">
        <v>6080</v>
      </c>
      <c r="R842" t="s">
        <v>27</v>
      </c>
      <c r="S842">
        <f t="shared" si="39"/>
        <v>7</v>
      </c>
      <c r="T842" s="2">
        <f t="shared" si="40"/>
        <v>0.61999976249985156</v>
      </c>
      <c r="U842" s="2">
        <f t="shared" si="41"/>
        <v>0.38000023750014844</v>
      </c>
    </row>
    <row r="843" spans="1:21" x14ac:dyDescent="0.3">
      <c r="A843">
        <v>10842</v>
      </c>
      <c r="B843" t="s">
        <v>150</v>
      </c>
      <c r="C843" t="s">
        <v>151</v>
      </c>
      <c r="D843" t="s">
        <v>30</v>
      </c>
      <c r="E843">
        <v>47</v>
      </c>
      <c r="F843" t="s">
        <v>54</v>
      </c>
      <c r="G843" t="s">
        <v>60</v>
      </c>
      <c r="H843" t="s">
        <v>61</v>
      </c>
      <c r="I843" t="s">
        <v>62</v>
      </c>
      <c r="J843">
        <v>18</v>
      </c>
      <c r="K843" s="1">
        <v>45855</v>
      </c>
      <c r="L843" s="1">
        <v>45859</v>
      </c>
      <c r="M843" t="s">
        <v>77</v>
      </c>
      <c r="N843" t="s">
        <v>51</v>
      </c>
      <c r="O843">
        <v>55003.66</v>
      </c>
      <c r="P843">
        <v>39052.6</v>
      </c>
      <c r="Q843">
        <v>15951.06</v>
      </c>
      <c r="R843" t="s">
        <v>32</v>
      </c>
      <c r="S843">
        <f t="shared" si="39"/>
        <v>4</v>
      </c>
      <c r="T843" s="2">
        <f t="shared" si="40"/>
        <v>0.71000002545285157</v>
      </c>
      <c r="U843" s="2">
        <f t="shared" si="41"/>
        <v>0.28999997454714826</v>
      </c>
    </row>
    <row r="844" spans="1:21" x14ac:dyDescent="0.3">
      <c r="A844">
        <v>10843</v>
      </c>
      <c r="B844" t="s">
        <v>156</v>
      </c>
      <c r="C844" t="s">
        <v>157</v>
      </c>
      <c r="D844" t="s">
        <v>30</v>
      </c>
      <c r="E844">
        <v>47</v>
      </c>
      <c r="F844" t="s">
        <v>40</v>
      </c>
      <c r="G844" t="s">
        <v>41</v>
      </c>
      <c r="H844" t="s">
        <v>42</v>
      </c>
      <c r="I844" t="s">
        <v>43</v>
      </c>
      <c r="J844">
        <v>9</v>
      </c>
      <c r="K844" s="1">
        <v>45872</v>
      </c>
      <c r="L844" s="1">
        <v>45880</v>
      </c>
      <c r="M844" t="s">
        <v>44</v>
      </c>
      <c r="N844" t="s">
        <v>26</v>
      </c>
      <c r="O844">
        <v>21409.16</v>
      </c>
      <c r="P844">
        <v>17341.419999999998</v>
      </c>
      <c r="Q844">
        <v>4067.74</v>
      </c>
      <c r="R844" t="s">
        <v>32</v>
      </c>
      <c r="S844">
        <f t="shared" si="39"/>
        <v>8</v>
      </c>
      <c r="T844" s="2">
        <f t="shared" si="40"/>
        <v>0.81000001868359139</v>
      </c>
      <c r="U844" s="2">
        <f t="shared" si="41"/>
        <v>0.18999998131640849</v>
      </c>
    </row>
    <row r="845" spans="1:21" x14ac:dyDescent="0.3">
      <c r="A845">
        <v>10844</v>
      </c>
      <c r="B845" t="s">
        <v>57</v>
      </c>
      <c r="C845" t="s">
        <v>58</v>
      </c>
      <c r="D845" t="s">
        <v>20</v>
      </c>
      <c r="E845">
        <v>45</v>
      </c>
      <c r="F845" t="s">
        <v>59</v>
      </c>
      <c r="G845" t="s">
        <v>88</v>
      </c>
      <c r="H845" t="s">
        <v>89</v>
      </c>
      <c r="I845" t="s">
        <v>62</v>
      </c>
      <c r="J845">
        <v>14</v>
      </c>
      <c r="K845" s="1">
        <v>45683</v>
      </c>
      <c r="L845" s="1">
        <v>45686</v>
      </c>
      <c r="M845" t="s">
        <v>77</v>
      </c>
      <c r="N845" t="s">
        <v>51</v>
      </c>
      <c r="O845">
        <v>67442.600000000006</v>
      </c>
      <c r="P845">
        <v>42488.84</v>
      </c>
      <c r="Q845">
        <v>24953.759999999998</v>
      </c>
      <c r="R845" t="s">
        <v>32</v>
      </c>
      <c r="S845">
        <f t="shared" si="39"/>
        <v>3</v>
      </c>
      <c r="T845" s="2">
        <f t="shared" si="40"/>
        <v>0.63000002965484714</v>
      </c>
      <c r="U845" s="2">
        <f t="shared" si="41"/>
        <v>0.3699999703451527</v>
      </c>
    </row>
    <row r="846" spans="1:21" x14ac:dyDescent="0.3">
      <c r="A846">
        <v>10845</v>
      </c>
      <c r="B846" t="s">
        <v>33</v>
      </c>
      <c r="C846" t="s">
        <v>34</v>
      </c>
      <c r="D846" t="s">
        <v>20</v>
      </c>
      <c r="E846">
        <v>26</v>
      </c>
      <c r="F846" t="s">
        <v>35</v>
      </c>
      <c r="G846" t="s">
        <v>55</v>
      </c>
      <c r="H846" t="s">
        <v>56</v>
      </c>
      <c r="I846" t="s">
        <v>49</v>
      </c>
      <c r="J846">
        <v>10</v>
      </c>
      <c r="K846" s="1">
        <v>45683</v>
      </c>
      <c r="L846" s="1">
        <v>45693</v>
      </c>
      <c r="M846" t="s">
        <v>101</v>
      </c>
      <c r="N846" t="s">
        <v>26</v>
      </c>
      <c r="O846">
        <v>59496.92</v>
      </c>
      <c r="P846">
        <v>44027.72</v>
      </c>
      <c r="Q846">
        <v>15469.2</v>
      </c>
      <c r="R846" t="s">
        <v>27</v>
      </c>
      <c r="S846">
        <f t="shared" si="39"/>
        <v>10</v>
      </c>
      <c r="T846" s="2">
        <f t="shared" si="40"/>
        <v>0.73999998655392585</v>
      </c>
      <c r="U846" s="2">
        <f t="shared" si="41"/>
        <v>0.26000001344607421</v>
      </c>
    </row>
    <row r="847" spans="1:21" x14ac:dyDescent="0.3">
      <c r="A847">
        <v>10846</v>
      </c>
      <c r="B847" t="s">
        <v>131</v>
      </c>
      <c r="C847" t="s">
        <v>132</v>
      </c>
      <c r="D847" t="s">
        <v>20</v>
      </c>
      <c r="E847">
        <v>68</v>
      </c>
      <c r="F847" t="s">
        <v>31</v>
      </c>
      <c r="G847" t="s">
        <v>88</v>
      </c>
      <c r="H847" t="s">
        <v>89</v>
      </c>
      <c r="I847" t="s">
        <v>62</v>
      </c>
      <c r="J847">
        <v>14</v>
      </c>
      <c r="K847" s="1">
        <v>45744</v>
      </c>
      <c r="L847" s="1">
        <v>45748</v>
      </c>
      <c r="M847" t="s">
        <v>96</v>
      </c>
      <c r="N847" t="s">
        <v>26</v>
      </c>
      <c r="O847">
        <v>303363.98</v>
      </c>
      <c r="P847">
        <v>188085.67</v>
      </c>
      <c r="Q847">
        <v>115278.31</v>
      </c>
      <c r="R847" t="s">
        <v>27</v>
      </c>
      <c r="S847">
        <f t="shared" si="39"/>
        <v>4</v>
      </c>
      <c r="T847" s="2">
        <f t="shared" si="40"/>
        <v>0.62000000791128873</v>
      </c>
      <c r="U847" s="2">
        <f t="shared" si="41"/>
        <v>0.37999999208871138</v>
      </c>
    </row>
    <row r="848" spans="1:21" x14ac:dyDescent="0.3">
      <c r="A848">
        <v>10847</v>
      </c>
      <c r="B848" t="s">
        <v>73</v>
      </c>
      <c r="C848" t="s">
        <v>74</v>
      </c>
      <c r="D848" t="s">
        <v>20</v>
      </c>
      <c r="E848">
        <v>53</v>
      </c>
      <c r="F848" t="s">
        <v>75</v>
      </c>
      <c r="G848" t="s">
        <v>55</v>
      </c>
      <c r="H848" t="s">
        <v>56</v>
      </c>
      <c r="I848" t="s">
        <v>49</v>
      </c>
      <c r="J848">
        <v>10</v>
      </c>
      <c r="K848" s="1">
        <v>45972</v>
      </c>
      <c r="L848" s="1">
        <v>45978</v>
      </c>
      <c r="M848" t="s">
        <v>85</v>
      </c>
      <c r="N848" t="s">
        <v>26</v>
      </c>
      <c r="O848">
        <v>120908.11</v>
      </c>
      <c r="P848">
        <v>76172.11</v>
      </c>
      <c r="Q848">
        <v>44736</v>
      </c>
      <c r="R848" t="s">
        <v>32</v>
      </c>
      <c r="S848">
        <f t="shared" si="39"/>
        <v>6</v>
      </c>
      <c r="T848" s="2">
        <f t="shared" si="40"/>
        <v>0.63000000578952065</v>
      </c>
      <c r="U848" s="2">
        <f t="shared" si="41"/>
        <v>0.36999999421047935</v>
      </c>
    </row>
    <row r="849" spans="1:21" x14ac:dyDescent="0.3">
      <c r="A849">
        <v>10848</v>
      </c>
      <c r="B849" t="s">
        <v>115</v>
      </c>
      <c r="C849" t="s">
        <v>116</v>
      </c>
      <c r="D849" t="s">
        <v>30</v>
      </c>
      <c r="E849">
        <v>18</v>
      </c>
      <c r="F849" t="s">
        <v>31</v>
      </c>
      <c r="G849" t="s">
        <v>47</v>
      </c>
      <c r="H849" t="s">
        <v>48</v>
      </c>
      <c r="I849" t="s">
        <v>49</v>
      </c>
      <c r="J849">
        <v>8</v>
      </c>
      <c r="K849" s="1">
        <v>45735</v>
      </c>
      <c r="L849" s="1">
        <v>45747</v>
      </c>
      <c r="M849" t="s">
        <v>50</v>
      </c>
      <c r="N849" t="s">
        <v>26</v>
      </c>
      <c r="O849">
        <v>368721.09</v>
      </c>
      <c r="P849">
        <v>235981.5</v>
      </c>
      <c r="Q849">
        <v>132739.59</v>
      </c>
      <c r="R849" t="s">
        <v>32</v>
      </c>
      <c r="S849">
        <f t="shared" si="39"/>
        <v>12</v>
      </c>
      <c r="T849" s="2">
        <f t="shared" si="40"/>
        <v>0.64000000650898481</v>
      </c>
      <c r="U849" s="2">
        <f t="shared" si="41"/>
        <v>0.35999999349101508</v>
      </c>
    </row>
    <row r="850" spans="1:21" x14ac:dyDescent="0.3">
      <c r="A850">
        <v>10849</v>
      </c>
      <c r="B850" t="s">
        <v>133</v>
      </c>
      <c r="C850" t="s">
        <v>134</v>
      </c>
      <c r="D850" t="s">
        <v>20</v>
      </c>
      <c r="E850">
        <v>56</v>
      </c>
      <c r="F850" t="s">
        <v>40</v>
      </c>
      <c r="G850" t="s">
        <v>22</v>
      </c>
      <c r="H850" t="s">
        <v>23</v>
      </c>
      <c r="I850" t="s">
        <v>24</v>
      </c>
      <c r="J850">
        <v>15</v>
      </c>
      <c r="K850" s="1">
        <v>45954</v>
      </c>
      <c r="L850" s="1">
        <v>45965</v>
      </c>
      <c r="M850" t="s">
        <v>76</v>
      </c>
      <c r="N850" t="s">
        <v>26</v>
      </c>
      <c r="O850">
        <v>329276.24</v>
      </c>
      <c r="P850">
        <v>200858.51</v>
      </c>
      <c r="Q850">
        <v>128417.73</v>
      </c>
      <c r="R850" t="s">
        <v>27</v>
      </c>
      <c r="S850">
        <f t="shared" si="39"/>
        <v>11</v>
      </c>
      <c r="T850" s="2">
        <f t="shared" si="40"/>
        <v>0.61000001093306955</v>
      </c>
      <c r="U850" s="2">
        <f t="shared" si="41"/>
        <v>0.38999998906693056</v>
      </c>
    </row>
    <row r="851" spans="1:21" x14ac:dyDescent="0.3">
      <c r="A851">
        <v>10850</v>
      </c>
      <c r="B851" t="s">
        <v>117</v>
      </c>
      <c r="C851" t="s">
        <v>118</v>
      </c>
      <c r="D851" t="s">
        <v>20</v>
      </c>
      <c r="E851">
        <v>65</v>
      </c>
      <c r="F851" t="s">
        <v>119</v>
      </c>
      <c r="G851" t="s">
        <v>41</v>
      </c>
      <c r="H851" t="s">
        <v>42</v>
      </c>
      <c r="I851" t="s">
        <v>43</v>
      </c>
      <c r="J851">
        <v>9</v>
      </c>
      <c r="K851" s="1">
        <v>45963</v>
      </c>
      <c r="L851" s="1">
        <v>45975</v>
      </c>
      <c r="M851" t="s">
        <v>44</v>
      </c>
      <c r="N851" t="s">
        <v>26</v>
      </c>
      <c r="O851">
        <v>27627.81</v>
      </c>
      <c r="P851">
        <v>16852.96</v>
      </c>
      <c r="Q851">
        <v>10774.85</v>
      </c>
      <c r="R851" t="s">
        <v>32</v>
      </c>
      <c r="S851">
        <f t="shared" si="39"/>
        <v>12</v>
      </c>
      <c r="T851" s="2">
        <f t="shared" si="40"/>
        <v>0.60999985159880565</v>
      </c>
      <c r="U851" s="2">
        <f t="shared" si="41"/>
        <v>0.39000014840119429</v>
      </c>
    </row>
    <row r="852" spans="1:21" x14ac:dyDescent="0.3">
      <c r="A852">
        <v>10851</v>
      </c>
      <c r="B852" t="s">
        <v>86</v>
      </c>
      <c r="C852" t="s">
        <v>87</v>
      </c>
      <c r="D852" t="s">
        <v>30</v>
      </c>
      <c r="E852">
        <v>23</v>
      </c>
      <c r="F852" t="s">
        <v>31</v>
      </c>
      <c r="G852" t="s">
        <v>70</v>
      </c>
      <c r="H852" t="s">
        <v>71</v>
      </c>
      <c r="I852" t="s">
        <v>43</v>
      </c>
      <c r="J852">
        <v>11</v>
      </c>
      <c r="K852" s="1">
        <v>45808</v>
      </c>
      <c r="L852" s="1">
        <v>45810</v>
      </c>
      <c r="M852" t="s">
        <v>112</v>
      </c>
      <c r="N852" t="s">
        <v>26</v>
      </c>
      <c r="O852">
        <v>26521.61</v>
      </c>
      <c r="P852">
        <v>22012.94</v>
      </c>
      <c r="Q852">
        <v>4508.67</v>
      </c>
      <c r="R852" t="s">
        <v>27</v>
      </c>
      <c r="S852">
        <f t="shared" si="39"/>
        <v>2</v>
      </c>
      <c r="T852" s="2">
        <f t="shared" si="40"/>
        <v>0.83000013950887586</v>
      </c>
      <c r="U852" s="2">
        <f t="shared" si="41"/>
        <v>0.16999986049112403</v>
      </c>
    </row>
    <row r="853" spans="1:21" x14ac:dyDescent="0.3">
      <c r="A853">
        <v>10852</v>
      </c>
      <c r="B853" t="s">
        <v>127</v>
      </c>
      <c r="C853" t="s">
        <v>128</v>
      </c>
      <c r="D853" t="s">
        <v>20</v>
      </c>
      <c r="E853">
        <v>41</v>
      </c>
      <c r="F853" t="s">
        <v>54</v>
      </c>
      <c r="G853" t="s">
        <v>41</v>
      </c>
      <c r="H853" t="s">
        <v>42</v>
      </c>
      <c r="I853" t="s">
        <v>43</v>
      </c>
      <c r="J853">
        <v>9</v>
      </c>
      <c r="K853" s="1">
        <v>45697</v>
      </c>
      <c r="L853" s="1">
        <v>45702</v>
      </c>
      <c r="M853" t="s">
        <v>112</v>
      </c>
      <c r="N853" t="s">
        <v>26</v>
      </c>
      <c r="O853">
        <v>37609.26</v>
      </c>
      <c r="P853">
        <v>25198.2</v>
      </c>
      <c r="Q853">
        <v>12411.06</v>
      </c>
      <c r="R853" t="s">
        <v>32</v>
      </c>
      <c r="S853">
        <f t="shared" si="39"/>
        <v>5</v>
      </c>
      <c r="T853" s="2">
        <f t="shared" si="40"/>
        <v>0.66999988832537516</v>
      </c>
      <c r="U853" s="2">
        <f t="shared" si="41"/>
        <v>0.33000011167462479</v>
      </c>
    </row>
    <row r="854" spans="1:21" x14ac:dyDescent="0.3">
      <c r="A854">
        <v>10853</v>
      </c>
      <c r="B854" t="s">
        <v>28</v>
      </c>
      <c r="C854" t="s">
        <v>29</v>
      </c>
      <c r="D854" t="s">
        <v>30</v>
      </c>
      <c r="E854">
        <v>60</v>
      </c>
      <c r="F854" t="s">
        <v>31</v>
      </c>
      <c r="G854" t="s">
        <v>22</v>
      </c>
      <c r="H854" t="s">
        <v>23</v>
      </c>
      <c r="I854" t="s">
        <v>24</v>
      </c>
      <c r="J854">
        <v>15</v>
      </c>
      <c r="K854" s="1">
        <v>45740</v>
      </c>
      <c r="L854" s="1">
        <v>45753</v>
      </c>
      <c r="M854" t="s">
        <v>66</v>
      </c>
      <c r="N854" t="s">
        <v>26</v>
      </c>
      <c r="O854">
        <v>55644.85</v>
      </c>
      <c r="P854">
        <v>43402.98</v>
      </c>
      <c r="Q854">
        <v>12241.87</v>
      </c>
      <c r="R854" t="s">
        <v>32</v>
      </c>
      <c r="S854">
        <f t="shared" si="39"/>
        <v>13</v>
      </c>
      <c r="T854" s="2">
        <f t="shared" si="40"/>
        <v>0.77999994608665502</v>
      </c>
      <c r="U854" s="2">
        <f t="shared" si="41"/>
        <v>0.22000005391334509</v>
      </c>
    </row>
    <row r="855" spans="1:21" x14ac:dyDescent="0.3">
      <c r="A855">
        <v>10854</v>
      </c>
      <c r="B855" t="s">
        <v>115</v>
      </c>
      <c r="C855" t="s">
        <v>116</v>
      </c>
      <c r="D855" t="s">
        <v>30</v>
      </c>
      <c r="E855">
        <v>18</v>
      </c>
      <c r="F855" t="s">
        <v>31</v>
      </c>
      <c r="G855" t="s">
        <v>88</v>
      </c>
      <c r="H855" t="s">
        <v>89</v>
      </c>
      <c r="I855" t="s">
        <v>62</v>
      </c>
      <c r="J855">
        <v>14</v>
      </c>
      <c r="K855" s="1">
        <v>45822</v>
      </c>
      <c r="L855" s="1">
        <v>45835</v>
      </c>
      <c r="M855" t="s">
        <v>63</v>
      </c>
      <c r="N855" t="s">
        <v>26</v>
      </c>
      <c r="O855">
        <v>42493.58</v>
      </c>
      <c r="P855">
        <v>31445.25</v>
      </c>
      <c r="Q855">
        <v>11048.33</v>
      </c>
      <c r="R855" t="s">
        <v>27</v>
      </c>
      <c r="S855">
        <f t="shared" si="39"/>
        <v>13</v>
      </c>
      <c r="T855" s="2">
        <f t="shared" si="40"/>
        <v>0.74000001882637323</v>
      </c>
      <c r="U855" s="2">
        <f t="shared" si="41"/>
        <v>0.25999998117362666</v>
      </c>
    </row>
    <row r="856" spans="1:21" x14ac:dyDescent="0.3">
      <c r="A856">
        <v>10855</v>
      </c>
      <c r="B856" t="s">
        <v>115</v>
      </c>
      <c r="C856" t="s">
        <v>116</v>
      </c>
      <c r="D856" t="s">
        <v>30</v>
      </c>
      <c r="E856">
        <v>18</v>
      </c>
      <c r="F856" t="s">
        <v>31</v>
      </c>
      <c r="G856" t="s">
        <v>60</v>
      </c>
      <c r="H856" t="s">
        <v>61</v>
      </c>
      <c r="I856" t="s">
        <v>62</v>
      </c>
      <c r="J856">
        <v>18</v>
      </c>
      <c r="K856" s="1">
        <v>45952</v>
      </c>
      <c r="L856" s="1">
        <v>45954</v>
      </c>
      <c r="M856" t="s">
        <v>96</v>
      </c>
      <c r="N856" t="s">
        <v>26</v>
      </c>
      <c r="O856">
        <v>182728.73</v>
      </c>
      <c r="P856">
        <v>140701.12</v>
      </c>
      <c r="Q856">
        <v>42027.61</v>
      </c>
      <c r="R856" t="s">
        <v>32</v>
      </c>
      <c r="S856">
        <f t="shared" si="39"/>
        <v>2</v>
      </c>
      <c r="T856" s="2">
        <f t="shared" si="40"/>
        <v>0.76999998850755424</v>
      </c>
      <c r="U856" s="2">
        <f t="shared" si="41"/>
        <v>0.23000001149244564</v>
      </c>
    </row>
    <row r="857" spans="1:21" x14ac:dyDescent="0.3">
      <c r="A857">
        <v>10856</v>
      </c>
      <c r="B857" t="s">
        <v>67</v>
      </c>
      <c r="C857" t="s">
        <v>68</v>
      </c>
      <c r="D857" t="s">
        <v>20</v>
      </c>
      <c r="E857">
        <v>33</v>
      </c>
      <c r="F857" t="s">
        <v>69</v>
      </c>
      <c r="G857" t="s">
        <v>60</v>
      </c>
      <c r="H857" t="s">
        <v>61</v>
      </c>
      <c r="I857" t="s">
        <v>62</v>
      </c>
      <c r="J857">
        <v>18</v>
      </c>
      <c r="K857" s="1">
        <v>45739</v>
      </c>
      <c r="L857" s="1">
        <v>45748</v>
      </c>
      <c r="M857" t="s">
        <v>77</v>
      </c>
      <c r="N857" t="s">
        <v>26</v>
      </c>
      <c r="O857">
        <v>74404.55</v>
      </c>
      <c r="P857">
        <v>53571.28</v>
      </c>
      <c r="Q857">
        <v>20833.27</v>
      </c>
      <c r="R857" t="s">
        <v>32</v>
      </c>
      <c r="S857">
        <f t="shared" si="39"/>
        <v>9</v>
      </c>
      <c r="T857" s="2">
        <f t="shared" si="40"/>
        <v>0.72000005376015308</v>
      </c>
      <c r="U857" s="2">
        <f t="shared" si="41"/>
        <v>0.27999994623984686</v>
      </c>
    </row>
    <row r="858" spans="1:21" x14ac:dyDescent="0.3">
      <c r="A858">
        <v>10857</v>
      </c>
      <c r="B858" t="s">
        <v>129</v>
      </c>
      <c r="C858" t="s">
        <v>130</v>
      </c>
      <c r="D858" t="s">
        <v>30</v>
      </c>
      <c r="E858">
        <v>28</v>
      </c>
      <c r="F858" t="s">
        <v>35</v>
      </c>
      <c r="G858" t="s">
        <v>60</v>
      </c>
      <c r="H858" t="s">
        <v>61</v>
      </c>
      <c r="I858" t="s">
        <v>62</v>
      </c>
      <c r="J858">
        <v>18</v>
      </c>
      <c r="K858" s="1">
        <v>45717</v>
      </c>
      <c r="L858" s="1">
        <v>45724</v>
      </c>
      <c r="M858" t="s">
        <v>77</v>
      </c>
      <c r="N858" t="s">
        <v>26</v>
      </c>
      <c r="O858">
        <v>70431.38</v>
      </c>
      <c r="P858">
        <v>45076.08</v>
      </c>
      <c r="Q858">
        <v>25355.3</v>
      </c>
      <c r="R858" t="s">
        <v>32</v>
      </c>
      <c r="S858">
        <f t="shared" si="39"/>
        <v>7</v>
      </c>
      <c r="T858" s="2">
        <f t="shared" si="40"/>
        <v>0.63999995456570635</v>
      </c>
      <c r="U858" s="2">
        <f t="shared" si="41"/>
        <v>0.36000004543429359</v>
      </c>
    </row>
    <row r="859" spans="1:21" x14ac:dyDescent="0.3">
      <c r="A859">
        <v>10858</v>
      </c>
      <c r="B859" t="s">
        <v>160</v>
      </c>
      <c r="C859" t="s">
        <v>161</v>
      </c>
      <c r="D859" t="s">
        <v>20</v>
      </c>
      <c r="E859">
        <v>18</v>
      </c>
      <c r="F859" t="s">
        <v>54</v>
      </c>
      <c r="G859" t="s">
        <v>36</v>
      </c>
      <c r="H859" t="s">
        <v>37</v>
      </c>
      <c r="I859" t="s">
        <v>24</v>
      </c>
      <c r="J859">
        <v>12</v>
      </c>
      <c r="K859" s="1">
        <v>45924</v>
      </c>
      <c r="L859" s="1">
        <v>45936</v>
      </c>
      <c r="M859" t="s">
        <v>76</v>
      </c>
      <c r="N859" t="s">
        <v>51</v>
      </c>
      <c r="O859">
        <v>157413</v>
      </c>
      <c r="P859">
        <v>114911.49</v>
      </c>
      <c r="Q859">
        <v>42501.51</v>
      </c>
      <c r="R859" t="s">
        <v>32</v>
      </c>
      <c r="S859">
        <f t="shared" si="39"/>
        <v>12</v>
      </c>
      <c r="T859" s="2">
        <f t="shared" si="40"/>
        <v>0.73</v>
      </c>
      <c r="U859" s="2">
        <f t="shared" si="41"/>
        <v>0.27</v>
      </c>
    </row>
    <row r="860" spans="1:21" x14ac:dyDescent="0.3">
      <c r="A860">
        <v>10859</v>
      </c>
      <c r="B860" t="s">
        <v>123</v>
      </c>
      <c r="C860" t="s">
        <v>124</v>
      </c>
      <c r="D860" t="s">
        <v>30</v>
      </c>
      <c r="E860">
        <v>65</v>
      </c>
      <c r="F860" t="s">
        <v>35</v>
      </c>
      <c r="G860" t="s">
        <v>36</v>
      </c>
      <c r="H860" t="s">
        <v>37</v>
      </c>
      <c r="I860" t="s">
        <v>24</v>
      </c>
      <c r="J860">
        <v>12</v>
      </c>
      <c r="K860" s="1">
        <v>45837</v>
      </c>
      <c r="L860" s="1">
        <v>45845</v>
      </c>
      <c r="M860" t="s">
        <v>66</v>
      </c>
      <c r="N860" t="s">
        <v>51</v>
      </c>
      <c r="O860">
        <v>68431.73</v>
      </c>
      <c r="P860">
        <v>48586.53</v>
      </c>
      <c r="Q860">
        <v>19845.2</v>
      </c>
      <c r="R860" t="s">
        <v>27</v>
      </c>
      <c r="S860">
        <f t="shared" si="39"/>
        <v>8</v>
      </c>
      <c r="T860" s="2">
        <f t="shared" si="40"/>
        <v>0.71000002484227709</v>
      </c>
      <c r="U860" s="2">
        <f t="shared" si="41"/>
        <v>0.28999997515772291</v>
      </c>
    </row>
    <row r="861" spans="1:21" x14ac:dyDescent="0.3">
      <c r="A861">
        <v>10860</v>
      </c>
      <c r="B861" t="s">
        <v>28</v>
      </c>
      <c r="C861" t="s">
        <v>29</v>
      </c>
      <c r="D861" t="s">
        <v>30</v>
      </c>
      <c r="E861">
        <v>60</v>
      </c>
      <c r="F861" t="s">
        <v>31</v>
      </c>
      <c r="G861" t="s">
        <v>36</v>
      </c>
      <c r="H861" t="s">
        <v>37</v>
      </c>
      <c r="I861" t="s">
        <v>24</v>
      </c>
      <c r="J861">
        <v>12</v>
      </c>
      <c r="K861" s="1">
        <v>45665</v>
      </c>
      <c r="L861" s="1">
        <v>45675</v>
      </c>
      <c r="M861" t="s">
        <v>66</v>
      </c>
      <c r="N861" t="s">
        <v>26</v>
      </c>
      <c r="O861">
        <v>48362.2</v>
      </c>
      <c r="P861">
        <v>29500.94</v>
      </c>
      <c r="Q861">
        <v>18861.259999999998</v>
      </c>
      <c r="R861" t="s">
        <v>32</v>
      </c>
      <c r="S861">
        <f t="shared" si="39"/>
        <v>10</v>
      </c>
      <c r="T861" s="2">
        <f t="shared" si="40"/>
        <v>0.60999995864538836</v>
      </c>
      <c r="U861" s="2">
        <f t="shared" si="41"/>
        <v>0.39000004135461164</v>
      </c>
    </row>
    <row r="862" spans="1:21" x14ac:dyDescent="0.3">
      <c r="A862">
        <v>10861</v>
      </c>
      <c r="B862" t="s">
        <v>160</v>
      </c>
      <c r="C862" t="s">
        <v>161</v>
      </c>
      <c r="D862" t="s">
        <v>20</v>
      </c>
      <c r="E862">
        <v>18</v>
      </c>
      <c r="F862" t="s">
        <v>54</v>
      </c>
      <c r="G862" t="s">
        <v>60</v>
      </c>
      <c r="H862" t="s">
        <v>61</v>
      </c>
      <c r="I862" t="s">
        <v>62</v>
      </c>
      <c r="J862">
        <v>18</v>
      </c>
      <c r="K862" s="1">
        <v>45887</v>
      </c>
      <c r="L862" s="1">
        <v>45890</v>
      </c>
      <c r="M862" t="s">
        <v>96</v>
      </c>
      <c r="N862" t="s">
        <v>51</v>
      </c>
      <c r="O862">
        <v>158558.20000000001</v>
      </c>
      <c r="P862">
        <v>110990.74</v>
      </c>
      <c r="Q862">
        <v>47567.46</v>
      </c>
      <c r="R862" t="s">
        <v>32</v>
      </c>
      <c r="S862">
        <f t="shared" si="39"/>
        <v>3</v>
      </c>
      <c r="T862" s="2">
        <f t="shared" si="40"/>
        <v>0.7</v>
      </c>
      <c r="U862" s="2">
        <f t="shared" si="41"/>
        <v>0.3</v>
      </c>
    </row>
    <row r="863" spans="1:21" x14ac:dyDescent="0.3">
      <c r="A863">
        <v>10862</v>
      </c>
      <c r="B863" t="s">
        <v>146</v>
      </c>
      <c r="C863" t="s">
        <v>147</v>
      </c>
      <c r="D863" t="s">
        <v>30</v>
      </c>
      <c r="E863">
        <v>75</v>
      </c>
      <c r="F863" t="s">
        <v>84</v>
      </c>
      <c r="G863" t="s">
        <v>47</v>
      </c>
      <c r="H863" t="s">
        <v>48</v>
      </c>
      <c r="I863" t="s">
        <v>49</v>
      </c>
      <c r="J863">
        <v>8</v>
      </c>
      <c r="K863" s="1">
        <v>45810</v>
      </c>
      <c r="L863" s="1">
        <v>45820</v>
      </c>
      <c r="M863" t="s">
        <v>85</v>
      </c>
      <c r="N863" t="s">
        <v>51</v>
      </c>
      <c r="O863">
        <v>127083.73</v>
      </c>
      <c r="P863">
        <v>86416.94</v>
      </c>
      <c r="Q863">
        <v>40666.79</v>
      </c>
      <c r="R863" t="s">
        <v>32</v>
      </c>
      <c r="S863">
        <f t="shared" si="39"/>
        <v>10</v>
      </c>
      <c r="T863" s="2">
        <f t="shared" si="40"/>
        <v>0.6800000283277805</v>
      </c>
      <c r="U863" s="2">
        <f t="shared" si="41"/>
        <v>0.31999997167221961</v>
      </c>
    </row>
    <row r="864" spans="1:21" x14ac:dyDescent="0.3">
      <c r="A864">
        <v>10863</v>
      </c>
      <c r="B864" t="s">
        <v>28</v>
      </c>
      <c r="C864" t="s">
        <v>29</v>
      </c>
      <c r="D864" t="s">
        <v>30</v>
      </c>
      <c r="E864">
        <v>60</v>
      </c>
      <c r="F864" t="s">
        <v>31</v>
      </c>
      <c r="G864" t="s">
        <v>55</v>
      </c>
      <c r="H864" t="s">
        <v>56</v>
      </c>
      <c r="I864" t="s">
        <v>49</v>
      </c>
      <c r="J864">
        <v>10</v>
      </c>
      <c r="K864" s="1">
        <v>45807</v>
      </c>
      <c r="L864" s="1">
        <v>45820</v>
      </c>
      <c r="M864" t="s">
        <v>101</v>
      </c>
      <c r="N864" t="s">
        <v>26</v>
      </c>
      <c r="O864">
        <v>34347.599999999999</v>
      </c>
      <c r="P864">
        <v>23012.89</v>
      </c>
      <c r="Q864">
        <v>11334.71</v>
      </c>
      <c r="R864" t="s">
        <v>27</v>
      </c>
      <c r="S864">
        <f t="shared" si="39"/>
        <v>13</v>
      </c>
      <c r="T864" s="2">
        <f t="shared" si="40"/>
        <v>0.66999994177176858</v>
      </c>
      <c r="U864" s="2">
        <f t="shared" si="41"/>
        <v>0.33000005822823136</v>
      </c>
    </row>
    <row r="865" spans="1:21" x14ac:dyDescent="0.3">
      <c r="A865">
        <v>10864</v>
      </c>
      <c r="B865" t="s">
        <v>99</v>
      </c>
      <c r="C865" t="s">
        <v>100</v>
      </c>
      <c r="D865" t="s">
        <v>30</v>
      </c>
      <c r="E865">
        <v>68</v>
      </c>
      <c r="F865" t="s">
        <v>69</v>
      </c>
      <c r="G865" t="s">
        <v>41</v>
      </c>
      <c r="H865" t="s">
        <v>42</v>
      </c>
      <c r="I865" t="s">
        <v>43</v>
      </c>
      <c r="J865">
        <v>9</v>
      </c>
      <c r="K865" s="1">
        <v>45803</v>
      </c>
      <c r="L865" s="1">
        <v>45814</v>
      </c>
      <c r="M865" t="s">
        <v>44</v>
      </c>
      <c r="N865" t="s">
        <v>26</v>
      </c>
      <c r="O865">
        <v>17405.03</v>
      </c>
      <c r="P865">
        <v>13227.82</v>
      </c>
      <c r="Q865">
        <v>4177.21</v>
      </c>
      <c r="R865" t="s">
        <v>32</v>
      </c>
      <c r="S865">
        <f t="shared" si="39"/>
        <v>11</v>
      </c>
      <c r="T865" s="2">
        <f t="shared" si="40"/>
        <v>0.759999839126965</v>
      </c>
      <c r="U865" s="2">
        <f t="shared" si="41"/>
        <v>0.240000160873035</v>
      </c>
    </row>
    <row r="866" spans="1:21" x14ac:dyDescent="0.3">
      <c r="A866">
        <v>10865</v>
      </c>
      <c r="B866" t="s">
        <v>127</v>
      </c>
      <c r="C866" t="s">
        <v>128</v>
      </c>
      <c r="D866" t="s">
        <v>20</v>
      </c>
      <c r="E866">
        <v>41</v>
      </c>
      <c r="F866" t="s">
        <v>54</v>
      </c>
      <c r="G866" t="s">
        <v>36</v>
      </c>
      <c r="H866" t="s">
        <v>37</v>
      </c>
      <c r="I866" t="s">
        <v>24</v>
      </c>
      <c r="J866">
        <v>12</v>
      </c>
      <c r="K866" s="1">
        <v>45710</v>
      </c>
      <c r="L866" s="1">
        <v>45720</v>
      </c>
      <c r="M866" t="s">
        <v>25</v>
      </c>
      <c r="N866" t="s">
        <v>26</v>
      </c>
      <c r="O866">
        <v>161586.04999999999</v>
      </c>
      <c r="P866">
        <v>105030.93</v>
      </c>
      <c r="Q866">
        <v>56555.12</v>
      </c>
      <c r="R866" t="s">
        <v>32</v>
      </c>
      <c r="S866">
        <f t="shared" si="39"/>
        <v>10</v>
      </c>
      <c r="T866" s="2">
        <f t="shared" si="40"/>
        <v>0.64999998452836738</v>
      </c>
      <c r="U866" s="2">
        <f t="shared" si="41"/>
        <v>0.35000001547163268</v>
      </c>
    </row>
    <row r="867" spans="1:21" x14ac:dyDescent="0.3">
      <c r="A867">
        <v>10866</v>
      </c>
      <c r="B867" t="s">
        <v>102</v>
      </c>
      <c r="C867" t="s">
        <v>103</v>
      </c>
      <c r="D867" t="s">
        <v>30</v>
      </c>
      <c r="E867">
        <v>59</v>
      </c>
      <c r="F867" t="s">
        <v>75</v>
      </c>
      <c r="G867" t="s">
        <v>88</v>
      </c>
      <c r="H867" t="s">
        <v>89</v>
      </c>
      <c r="I867" t="s">
        <v>62</v>
      </c>
      <c r="J867">
        <v>14</v>
      </c>
      <c r="K867" s="1">
        <v>45728</v>
      </c>
      <c r="L867" s="1">
        <v>45735</v>
      </c>
      <c r="M867" t="s">
        <v>96</v>
      </c>
      <c r="N867" t="s">
        <v>26</v>
      </c>
      <c r="O867">
        <v>99704.69</v>
      </c>
      <c r="P867">
        <v>75775.56</v>
      </c>
      <c r="Q867">
        <v>23929.13</v>
      </c>
      <c r="R867" t="s">
        <v>32</v>
      </c>
      <c r="S867">
        <f t="shared" si="39"/>
        <v>7</v>
      </c>
      <c r="T867" s="2">
        <f t="shared" si="40"/>
        <v>0.75999995586967872</v>
      </c>
      <c r="U867" s="2">
        <f t="shared" si="41"/>
        <v>0.24000004413032125</v>
      </c>
    </row>
    <row r="868" spans="1:21" x14ac:dyDescent="0.3">
      <c r="A868">
        <v>10867</v>
      </c>
      <c r="B868" t="s">
        <v>92</v>
      </c>
      <c r="C868" t="s">
        <v>93</v>
      </c>
      <c r="D868" t="s">
        <v>20</v>
      </c>
      <c r="E868">
        <v>40</v>
      </c>
      <c r="F868" t="s">
        <v>54</v>
      </c>
      <c r="G868" t="s">
        <v>70</v>
      </c>
      <c r="H868" t="s">
        <v>71</v>
      </c>
      <c r="I868" t="s">
        <v>43</v>
      </c>
      <c r="J868">
        <v>11</v>
      </c>
      <c r="K868" s="1">
        <v>45759</v>
      </c>
      <c r="L868" s="1">
        <v>45763</v>
      </c>
      <c r="M868" t="s">
        <v>72</v>
      </c>
      <c r="N868" t="s">
        <v>26</v>
      </c>
      <c r="O868">
        <v>9561.4</v>
      </c>
      <c r="P868">
        <v>7362.28</v>
      </c>
      <c r="Q868">
        <v>2199.12</v>
      </c>
      <c r="R868" t="s">
        <v>32</v>
      </c>
      <c r="S868">
        <f t="shared" si="39"/>
        <v>4</v>
      </c>
      <c r="T868" s="2">
        <f t="shared" si="40"/>
        <v>0.77000020917438872</v>
      </c>
      <c r="U868" s="2">
        <f t="shared" si="41"/>
        <v>0.22999979082561131</v>
      </c>
    </row>
    <row r="869" spans="1:21" x14ac:dyDescent="0.3">
      <c r="A869">
        <v>10868</v>
      </c>
      <c r="B869" t="s">
        <v>162</v>
      </c>
      <c r="C869" t="s">
        <v>91</v>
      </c>
      <c r="D869" t="s">
        <v>30</v>
      </c>
      <c r="E869">
        <v>39</v>
      </c>
      <c r="F869" t="s">
        <v>119</v>
      </c>
      <c r="G869" t="s">
        <v>55</v>
      </c>
      <c r="H869" t="s">
        <v>56</v>
      </c>
      <c r="I869" t="s">
        <v>49</v>
      </c>
      <c r="J869">
        <v>10</v>
      </c>
      <c r="K869" s="1">
        <v>45669</v>
      </c>
      <c r="L869" s="1">
        <v>45681</v>
      </c>
      <c r="M869" t="s">
        <v>101</v>
      </c>
      <c r="N869" t="s">
        <v>26</v>
      </c>
      <c r="O869">
        <v>21801.31</v>
      </c>
      <c r="P869">
        <v>15260.92</v>
      </c>
      <c r="Q869">
        <v>6540.39</v>
      </c>
      <c r="R869" t="s">
        <v>32</v>
      </c>
      <c r="S869">
        <f t="shared" si="39"/>
        <v>12</v>
      </c>
      <c r="T869" s="2">
        <f t="shared" si="40"/>
        <v>0.70000013760640989</v>
      </c>
      <c r="U869" s="2">
        <f t="shared" si="41"/>
        <v>0.29999986239359011</v>
      </c>
    </row>
    <row r="870" spans="1:21" x14ac:dyDescent="0.3">
      <c r="A870">
        <v>10869</v>
      </c>
      <c r="B870" t="s">
        <v>18</v>
      </c>
      <c r="C870" t="s">
        <v>19</v>
      </c>
      <c r="D870" t="s">
        <v>20</v>
      </c>
      <c r="E870">
        <v>45</v>
      </c>
      <c r="F870" t="s">
        <v>21</v>
      </c>
      <c r="G870" t="s">
        <v>22</v>
      </c>
      <c r="H870" t="s">
        <v>23</v>
      </c>
      <c r="I870" t="s">
        <v>24</v>
      </c>
      <c r="J870">
        <v>15</v>
      </c>
      <c r="K870" s="1">
        <v>45913</v>
      </c>
      <c r="L870" s="1">
        <v>45920</v>
      </c>
      <c r="M870" t="s">
        <v>25</v>
      </c>
      <c r="N870" t="s">
        <v>51</v>
      </c>
      <c r="O870">
        <v>101409.24</v>
      </c>
      <c r="P870">
        <v>60845.54</v>
      </c>
      <c r="Q870">
        <v>40563.699999999997</v>
      </c>
      <c r="R870" t="s">
        <v>32</v>
      </c>
      <c r="S870">
        <f t="shared" si="39"/>
        <v>7</v>
      </c>
      <c r="T870" s="2">
        <f t="shared" si="40"/>
        <v>0.59999996055586258</v>
      </c>
      <c r="U870" s="2">
        <f t="shared" si="41"/>
        <v>0.40000003944413737</v>
      </c>
    </row>
    <row r="871" spans="1:21" x14ac:dyDescent="0.3">
      <c r="A871">
        <v>10870</v>
      </c>
      <c r="B871" t="s">
        <v>67</v>
      </c>
      <c r="C871" t="s">
        <v>68</v>
      </c>
      <c r="D871" t="s">
        <v>20</v>
      </c>
      <c r="E871">
        <v>33</v>
      </c>
      <c r="F871" t="s">
        <v>69</v>
      </c>
      <c r="G871" t="s">
        <v>55</v>
      </c>
      <c r="H871" t="s">
        <v>56</v>
      </c>
      <c r="I871" t="s">
        <v>49</v>
      </c>
      <c r="J871">
        <v>10</v>
      </c>
      <c r="K871" s="1">
        <v>45779</v>
      </c>
      <c r="L871" s="1">
        <v>45787</v>
      </c>
      <c r="M871" t="s">
        <v>101</v>
      </c>
      <c r="N871" t="s">
        <v>26</v>
      </c>
      <c r="O871">
        <v>35613.85</v>
      </c>
      <c r="P871">
        <v>22792.86</v>
      </c>
      <c r="Q871">
        <v>12820.99</v>
      </c>
      <c r="R871" t="s">
        <v>32</v>
      </c>
      <c r="S871">
        <f t="shared" si="39"/>
        <v>8</v>
      </c>
      <c r="T871" s="2">
        <f t="shared" si="40"/>
        <v>0.6399998876841454</v>
      </c>
      <c r="U871" s="2">
        <f t="shared" si="41"/>
        <v>0.36000011231585466</v>
      </c>
    </row>
    <row r="872" spans="1:21" x14ac:dyDescent="0.3">
      <c r="A872">
        <v>10871</v>
      </c>
      <c r="B872" t="s">
        <v>137</v>
      </c>
      <c r="C872" t="s">
        <v>138</v>
      </c>
      <c r="D872" t="s">
        <v>30</v>
      </c>
      <c r="E872">
        <v>56</v>
      </c>
      <c r="F872" t="s">
        <v>59</v>
      </c>
      <c r="G872" t="s">
        <v>60</v>
      </c>
      <c r="H872" t="s">
        <v>61</v>
      </c>
      <c r="I872" t="s">
        <v>62</v>
      </c>
      <c r="J872">
        <v>18</v>
      </c>
      <c r="K872" s="1">
        <v>45845</v>
      </c>
      <c r="L872" s="1">
        <v>45847</v>
      </c>
      <c r="M872" t="s">
        <v>63</v>
      </c>
      <c r="N872" t="s">
        <v>51</v>
      </c>
      <c r="O872">
        <v>43651.91</v>
      </c>
      <c r="P872">
        <v>35358.050000000003</v>
      </c>
      <c r="Q872">
        <v>8293.86</v>
      </c>
      <c r="R872" t="s">
        <v>32</v>
      </c>
      <c r="S872">
        <f t="shared" si="39"/>
        <v>2</v>
      </c>
      <c r="T872" s="2">
        <f t="shared" si="40"/>
        <v>0.8100000664346646</v>
      </c>
      <c r="U872" s="2">
        <f t="shared" si="41"/>
        <v>0.1899999335653354</v>
      </c>
    </row>
    <row r="873" spans="1:21" x14ac:dyDescent="0.3">
      <c r="A873">
        <v>10872</v>
      </c>
      <c r="B873" t="s">
        <v>135</v>
      </c>
      <c r="C873" t="s">
        <v>136</v>
      </c>
      <c r="D873" t="s">
        <v>30</v>
      </c>
      <c r="E873">
        <v>52</v>
      </c>
      <c r="F873" t="s">
        <v>35</v>
      </c>
      <c r="G873" t="s">
        <v>70</v>
      </c>
      <c r="H873" t="s">
        <v>71</v>
      </c>
      <c r="I873" t="s">
        <v>43</v>
      </c>
      <c r="J873">
        <v>11</v>
      </c>
      <c r="K873" s="1">
        <v>45986</v>
      </c>
      <c r="L873" s="1">
        <v>45997</v>
      </c>
      <c r="M873" t="s">
        <v>112</v>
      </c>
      <c r="N873" t="s">
        <v>26</v>
      </c>
      <c r="O873">
        <v>26542.39</v>
      </c>
      <c r="P873">
        <v>16721.71</v>
      </c>
      <c r="Q873">
        <v>9820.68</v>
      </c>
      <c r="R873" t="s">
        <v>32</v>
      </c>
      <c r="S873">
        <f t="shared" si="39"/>
        <v>11</v>
      </c>
      <c r="T873" s="2">
        <f t="shared" si="40"/>
        <v>0.63000016200500408</v>
      </c>
      <c r="U873" s="2">
        <f t="shared" si="41"/>
        <v>0.36999983799499597</v>
      </c>
    </row>
    <row r="874" spans="1:21" x14ac:dyDescent="0.3">
      <c r="A874">
        <v>10873</v>
      </c>
      <c r="B874" t="s">
        <v>28</v>
      </c>
      <c r="C874" t="s">
        <v>29</v>
      </c>
      <c r="D874" t="s">
        <v>30</v>
      </c>
      <c r="E874">
        <v>60</v>
      </c>
      <c r="F874" t="s">
        <v>31</v>
      </c>
      <c r="G874" t="s">
        <v>88</v>
      </c>
      <c r="H874" t="s">
        <v>89</v>
      </c>
      <c r="I874" t="s">
        <v>62</v>
      </c>
      <c r="J874">
        <v>14</v>
      </c>
      <c r="K874" s="1">
        <v>45980</v>
      </c>
      <c r="L874" s="1">
        <v>45988</v>
      </c>
      <c r="M874" t="s">
        <v>77</v>
      </c>
      <c r="N874" t="s">
        <v>26</v>
      </c>
      <c r="O874">
        <v>74577.83</v>
      </c>
      <c r="P874">
        <v>46238.25</v>
      </c>
      <c r="Q874">
        <v>28339.58</v>
      </c>
      <c r="R874" t="s">
        <v>32</v>
      </c>
      <c r="S874">
        <f t="shared" si="39"/>
        <v>8</v>
      </c>
      <c r="T874" s="2">
        <f t="shared" si="40"/>
        <v>0.61999993831947109</v>
      </c>
      <c r="U874" s="2">
        <f t="shared" si="41"/>
        <v>0.38000006168052891</v>
      </c>
    </row>
    <row r="875" spans="1:21" x14ac:dyDescent="0.3">
      <c r="A875">
        <v>10874</v>
      </c>
      <c r="B875" t="s">
        <v>67</v>
      </c>
      <c r="C875" t="s">
        <v>68</v>
      </c>
      <c r="D875" t="s">
        <v>20</v>
      </c>
      <c r="E875">
        <v>33</v>
      </c>
      <c r="F875" t="s">
        <v>69</v>
      </c>
      <c r="G875" t="s">
        <v>36</v>
      </c>
      <c r="H875" t="s">
        <v>37</v>
      </c>
      <c r="I875" t="s">
        <v>24</v>
      </c>
      <c r="J875">
        <v>12</v>
      </c>
      <c r="K875" s="1">
        <v>46002</v>
      </c>
      <c r="L875" s="1">
        <v>46011</v>
      </c>
      <c r="M875" t="s">
        <v>25</v>
      </c>
      <c r="N875" t="s">
        <v>26</v>
      </c>
      <c r="O875">
        <v>188418.81</v>
      </c>
      <c r="P875">
        <v>122472.23</v>
      </c>
      <c r="Q875">
        <v>65946.58</v>
      </c>
      <c r="R875" t="s">
        <v>32</v>
      </c>
      <c r="S875">
        <f t="shared" si="39"/>
        <v>9</v>
      </c>
      <c r="T875" s="2">
        <f t="shared" si="40"/>
        <v>0.65000001857564005</v>
      </c>
      <c r="U875" s="2">
        <f t="shared" si="41"/>
        <v>0.34999998142435995</v>
      </c>
    </row>
    <row r="876" spans="1:21" x14ac:dyDescent="0.3">
      <c r="A876">
        <v>10875</v>
      </c>
      <c r="B876" t="s">
        <v>150</v>
      </c>
      <c r="C876" t="s">
        <v>151</v>
      </c>
      <c r="D876" t="s">
        <v>30</v>
      </c>
      <c r="E876">
        <v>47</v>
      </c>
      <c r="F876" t="s">
        <v>54</v>
      </c>
      <c r="G876" t="s">
        <v>36</v>
      </c>
      <c r="H876" t="s">
        <v>37</v>
      </c>
      <c r="I876" t="s">
        <v>24</v>
      </c>
      <c r="J876">
        <v>12</v>
      </c>
      <c r="K876" s="1">
        <v>45723</v>
      </c>
      <c r="L876" s="1">
        <v>45734</v>
      </c>
      <c r="M876" t="s">
        <v>25</v>
      </c>
      <c r="N876" t="s">
        <v>51</v>
      </c>
      <c r="O876">
        <v>183002.99</v>
      </c>
      <c r="P876">
        <v>128102.09</v>
      </c>
      <c r="Q876">
        <v>54900.9</v>
      </c>
      <c r="R876" t="s">
        <v>32</v>
      </c>
      <c r="S876">
        <f t="shared" si="39"/>
        <v>11</v>
      </c>
      <c r="T876" s="2">
        <f t="shared" si="40"/>
        <v>0.69999998360682525</v>
      </c>
      <c r="U876" s="2">
        <f t="shared" si="41"/>
        <v>0.30000001639317481</v>
      </c>
    </row>
    <row r="877" spans="1:21" x14ac:dyDescent="0.3">
      <c r="A877">
        <v>10876</v>
      </c>
      <c r="B877" t="s">
        <v>38</v>
      </c>
      <c r="C877" t="s">
        <v>39</v>
      </c>
      <c r="D877" t="s">
        <v>30</v>
      </c>
      <c r="E877">
        <v>62</v>
      </c>
      <c r="F877" t="s">
        <v>40</v>
      </c>
      <c r="G877" t="s">
        <v>60</v>
      </c>
      <c r="H877" t="s">
        <v>61</v>
      </c>
      <c r="I877" t="s">
        <v>62</v>
      </c>
      <c r="J877">
        <v>18</v>
      </c>
      <c r="K877" s="1">
        <v>45801</v>
      </c>
      <c r="L877" s="1">
        <v>45810</v>
      </c>
      <c r="M877" t="s">
        <v>63</v>
      </c>
      <c r="N877" t="s">
        <v>26</v>
      </c>
      <c r="O877">
        <v>17635.259999999998</v>
      </c>
      <c r="P877">
        <v>11991.98</v>
      </c>
      <c r="Q877">
        <v>5643.28</v>
      </c>
      <c r="R877" t="s">
        <v>27</v>
      </c>
      <c r="S877">
        <f t="shared" si="39"/>
        <v>9</v>
      </c>
      <c r="T877" s="2">
        <f t="shared" si="40"/>
        <v>0.68000018145465391</v>
      </c>
      <c r="U877" s="2">
        <f t="shared" si="41"/>
        <v>0.31999981854534609</v>
      </c>
    </row>
    <row r="878" spans="1:21" x14ac:dyDescent="0.3">
      <c r="A878">
        <v>10877</v>
      </c>
      <c r="B878" t="s">
        <v>99</v>
      </c>
      <c r="C878" t="s">
        <v>100</v>
      </c>
      <c r="D878" t="s">
        <v>30</v>
      </c>
      <c r="E878">
        <v>68</v>
      </c>
      <c r="F878" t="s">
        <v>69</v>
      </c>
      <c r="G878" t="s">
        <v>70</v>
      </c>
      <c r="H878" t="s">
        <v>71</v>
      </c>
      <c r="I878" t="s">
        <v>43</v>
      </c>
      <c r="J878">
        <v>11</v>
      </c>
      <c r="K878" s="1">
        <v>45777</v>
      </c>
      <c r="L878" s="1">
        <v>45788</v>
      </c>
      <c r="M878" t="s">
        <v>44</v>
      </c>
      <c r="N878" t="s">
        <v>26</v>
      </c>
      <c r="O878">
        <v>28606.04</v>
      </c>
      <c r="P878">
        <v>21454.53</v>
      </c>
      <c r="Q878">
        <v>7151.51</v>
      </c>
      <c r="R878" t="s">
        <v>32</v>
      </c>
      <c r="S878">
        <f t="shared" si="39"/>
        <v>11</v>
      </c>
      <c r="T878" s="2">
        <f t="shared" si="40"/>
        <v>0.74999999999999989</v>
      </c>
      <c r="U878" s="2">
        <f t="shared" si="41"/>
        <v>0.25</v>
      </c>
    </row>
    <row r="879" spans="1:21" x14ac:dyDescent="0.3">
      <c r="A879">
        <v>10878</v>
      </c>
      <c r="B879" t="s">
        <v>115</v>
      </c>
      <c r="C879" t="s">
        <v>116</v>
      </c>
      <c r="D879" t="s">
        <v>30</v>
      </c>
      <c r="E879">
        <v>18</v>
      </c>
      <c r="F879" t="s">
        <v>31</v>
      </c>
      <c r="G879" t="s">
        <v>41</v>
      </c>
      <c r="H879" t="s">
        <v>42</v>
      </c>
      <c r="I879" t="s">
        <v>43</v>
      </c>
      <c r="J879">
        <v>9</v>
      </c>
      <c r="K879" s="1">
        <v>45934</v>
      </c>
      <c r="L879" s="1">
        <v>45939</v>
      </c>
      <c r="M879" t="s">
        <v>44</v>
      </c>
      <c r="N879" t="s">
        <v>26</v>
      </c>
      <c r="O879">
        <v>19869.990000000002</v>
      </c>
      <c r="P879">
        <v>13114.19</v>
      </c>
      <c r="Q879">
        <v>6755.8</v>
      </c>
      <c r="R879" t="s">
        <v>27</v>
      </c>
      <c r="S879">
        <f t="shared" si="39"/>
        <v>5</v>
      </c>
      <c r="T879" s="2">
        <f t="shared" si="40"/>
        <v>0.65999982888768438</v>
      </c>
      <c r="U879" s="2">
        <f t="shared" si="41"/>
        <v>0.34000017111231556</v>
      </c>
    </row>
    <row r="880" spans="1:21" x14ac:dyDescent="0.3">
      <c r="A880">
        <v>10879</v>
      </c>
      <c r="B880" t="s">
        <v>127</v>
      </c>
      <c r="C880" t="s">
        <v>128</v>
      </c>
      <c r="D880" t="s">
        <v>20</v>
      </c>
      <c r="E880">
        <v>41</v>
      </c>
      <c r="F880" t="s">
        <v>54</v>
      </c>
      <c r="G880" t="s">
        <v>55</v>
      </c>
      <c r="H880" t="s">
        <v>56</v>
      </c>
      <c r="I880" t="s">
        <v>49</v>
      </c>
      <c r="J880">
        <v>10</v>
      </c>
      <c r="K880" s="1">
        <v>45739</v>
      </c>
      <c r="L880" s="1">
        <v>45747</v>
      </c>
      <c r="M880" t="s">
        <v>101</v>
      </c>
      <c r="N880" t="s">
        <v>26</v>
      </c>
      <c r="O880">
        <v>62272.56</v>
      </c>
      <c r="P880">
        <v>46704.42</v>
      </c>
      <c r="Q880">
        <v>15568.14</v>
      </c>
      <c r="R880" t="s">
        <v>27</v>
      </c>
      <c r="S880">
        <f t="shared" si="39"/>
        <v>8</v>
      </c>
      <c r="T880" s="2">
        <f t="shared" si="40"/>
        <v>0.75</v>
      </c>
      <c r="U880" s="2">
        <f t="shared" si="41"/>
        <v>0.25</v>
      </c>
    </row>
    <row r="881" spans="1:21" x14ac:dyDescent="0.3">
      <c r="A881">
        <v>10880</v>
      </c>
      <c r="B881" t="s">
        <v>158</v>
      </c>
      <c r="C881" t="s">
        <v>159</v>
      </c>
      <c r="D881" t="s">
        <v>30</v>
      </c>
      <c r="E881">
        <v>18</v>
      </c>
      <c r="F881" t="s">
        <v>35</v>
      </c>
      <c r="G881" t="s">
        <v>36</v>
      </c>
      <c r="H881" t="s">
        <v>37</v>
      </c>
      <c r="I881" t="s">
        <v>24</v>
      </c>
      <c r="J881">
        <v>12</v>
      </c>
      <c r="K881" s="1">
        <v>45889</v>
      </c>
      <c r="L881" s="1">
        <v>45896</v>
      </c>
      <c r="M881" t="s">
        <v>25</v>
      </c>
      <c r="N881" t="s">
        <v>26</v>
      </c>
      <c r="O881">
        <v>97847.21</v>
      </c>
      <c r="P881">
        <v>73385.41</v>
      </c>
      <c r="Q881">
        <v>24461.8</v>
      </c>
      <c r="R881" t="s">
        <v>32</v>
      </c>
      <c r="S881">
        <f t="shared" si="39"/>
        <v>7</v>
      </c>
      <c r="T881" s="2">
        <f t="shared" si="40"/>
        <v>0.75000002555003864</v>
      </c>
      <c r="U881" s="2">
        <f t="shared" si="41"/>
        <v>0.2499999744499613</v>
      </c>
    </row>
    <row r="882" spans="1:21" x14ac:dyDescent="0.3">
      <c r="A882">
        <v>10881</v>
      </c>
      <c r="B882" t="s">
        <v>125</v>
      </c>
      <c r="C882" t="s">
        <v>126</v>
      </c>
      <c r="D882" t="s">
        <v>30</v>
      </c>
      <c r="E882">
        <v>73</v>
      </c>
      <c r="F882" t="s">
        <v>21</v>
      </c>
      <c r="G882" t="s">
        <v>88</v>
      </c>
      <c r="H882" t="s">
        <v>89</v>
      </c>
      <c r="I882" t="s">
        <v>62</v>
      </c>
      <c r="J882">
        <v>14</v>
      </c>
      <c r="K882" s="1">
        <v>45929</v>
      </c>
      <c r="L882" s="1">
        <v>45938</v>
      </c>
      <c r="M882" t="s">
        <v>63</v>
      </c>
      <c r="N882" t="s">
        <v>26</v>
      </c>
      <c r="O882">
        <v>19000.47</v>
      </c>
      <c r="P882">
        <v>15200.38</v>
      </c>
      <c r="Q882">
        <v>3800.09</v>
      </c>
      <c r="R882" t="s">
        <v>32</v>
      </c>
      <c r="S882">
        <f t="shared" si="39"/>
        <v>9</v>
      </c>
      <c r="T882" s="2">
        <f t="shared" si="40"/>
        <v>0.80000021052110803</v>
      </c>
      <c r="U882" s="2">
        <f t="shared" si="41"/>
        <v>0.19999978947889183</v>
      </c>
    </row>
    <row r="883" spans="1:21" x14ac:dyDescent="0.3">
      <c r="A883">
        <v>10882</v>
      </c>
      <c r="B883" t="s">
        <v>106</v>
      </c>
      <c r="C883" t="s">
        <v>107</v>
      </c>
      <c r="D883" t="s">
        <v>30</v>
      </c>
      <c r="E883">
        <v>37</v>
      </c>
      <c r="F883" t="s">
        <v>31</v>
      </c>
      <c r="G883" t="s">
        <v>88</v>
      </c>
      <c r="H883" t="s">
        <v>89</v>
      </c>
      <c r="I883" t="s">
        <v>62</v>
      </c>
      <c r="J883">
        <v>14</v>
      </c>
      <c r="K883" s="1">
        <v>45832</v>
      </c>
      <c r="L883" s="1">
        <v>45837</v>
      </c>
      <c r="M883" t="s">
        <v>77</v>
      </c>
      <c r="N883" t="s">
        <v>26</v>
      </c>
      <c r="O883">
        <v>38332.83</v>
      </c>
      <c r="P883">
        <v>25299.67</v>
      </c>
      <c r="Q883">
        <v>13033.16</v>
      </c>
      <c r="R883" t="s">
        <v>27</v>
      </c>
      <c r="S883">
        <f t="shared" si="39"/>
        <v>5</v>
      </c>
      <c r="T883" s="2">
        <f t="shared" si="40"/>
        <v>0.6600000573920578</v>
      </c>
      <c r="U883" s="2">
        <f t="shared" si="41"/>
        <v>0.33999994260794203</v>
      </c>
    </row>
    <row r="884" spans="1:21" x14ac:dyDescent="0.3">
      <c r="A884">
        <v>10883</v>
      </c>
      <c r="B884" t="s">
        <v>90</v>
      </c>
      <c r="C884" t="s">
        <v>91</v>
      </c>
      <c r="D884" t="s">
        <v>20</v>
      </c>
      <c r="E884">
        <v>48</v>
      </c>
      <c r="F884" t="s">
        <v>84</v>
      </c>
      <c r="G884" t="s">
        <v>88</v>
      </c>
      <c r="H884" t="s">
        <v>89</v>
      </c>
      <c r="I884" t="s">
        <v>62</v>
      </c>
      <c r="J884">
        <v>14</v>
      </c>
      <c r="K884" s="1">
        <v>45783</v>
      </c>
      <c r="L884" s="1">
        <v>45791</v>
      </c>
      <c r="M884" t="s">
        <v>96</v>
      </c>
      <c r="N884" t="s">
        <v>51</v>
      </c>
      <c r="O884">
        <v>231153.61</v>
      </c>
      <c r="P884">
        <v>177988.28</v>
      </c>
      <c r="Q884">
        <v>53165.33</v>
      </c>
      <c r="R884" t="s">
        <v>32</v>
      </c>
      <c r="S884">
        <f t="shared" si="39"/>
        <v>8</v>
      </c>
      <c r="T884" s="2">
        <f t="shared" si="40"/>
        <v>0.7700000012978383</v>
      </c>
      <c r="U884" s="2">
        <f t="shared" si="41"/>
        <v>0.22999999870216176</v>
      </c>
    </row>
    <row r="885" spans="1:21" x14ac:dyDescent="0.3">
      <c r="A885">
        <v>10884</v>
      </c>
      <c r="B885" t="s">
        <v>115</v>
      </c>
      <c r="C885" t="s">
        <v>116</v>
      </c>
      <c r="D885" t="s">
        <v>30</v>
      </c>
      <c r="E885">
        <v>18</v>
      </c>
      <c r="F885" t="s">
        <v>31</v>
      </c>
      <c r="G885" t="s">
        <v>60</v>
      </c>
      <c r="H885" t="s">
        <v>61</v>
      </c>
      <c r="I885" t="s">
        <v>62</v>
      </c>
      <c r="J885">
        <v>18</v>
      </c>
      <c r="K885" s="1">
        <v>45801</v>
      </c>
      <c r="L885" s="1">
        <v>45808</v>
      </c>
      <c r="M885" t="s">
        <v>96</v>
      </c>
      <c r="N885" t="s">
        <v>26</v>
      </c>
      <c r="O885">
        <v>217801.95</v>
      </c>
      <c r="P885">
        <v>139393.25</v>
      </c>
      <c r="Q885">
        <v>78408.7</v>
      </c>
      <c r="R885" t="s">
        <v>32</v>
      </c>
      <c r="S885">
        <f t="shared" si="39"/>
        <v>7</v>
      </c>
      <c r="T885" s="2">
        <f t="shared" si="40"/>
        <v>0.64000000918265421</v>
      </c>
      <c r="U885" s="2">
        <f t="shared" si="41"/>
        <v>0.35999999081734574</v>
      </c>
    </row>
    <row r="886" spans="1:21" x14ac:dyDescent="0.3">
      <c r="A886">
        <v>10885</v>
      </c>
      <c r="B886" t="s">
        <v>133</v>
      </c>
      <c r="C886" t="s">
        <v>134</v>
      </c>
      <c r="D886" t="s">
        <v>20</v>
      </c>
      <c r="E886">
        <v>56</v>
      </c>
      <c r="F886" t="s">
        <v>40</v>
      </c>
      <c r="G886" t="s">
        <v>36</v>
      </c>
      <c r="H886" t="s">
        <v>37</v>
      </c>
      <c r="I886" t="s">
        <v>24</v>
      </c>
      <c r="J886">
        <v>12</v>
      </c>
      <c r="K886" s="1">
        <v>45850</v>
      </c>
      <c r="L886" s="1">
        <v>45854</v>
      </c>
      <c r="M886" t="s">
        <v>25</v>
      </c>
      <c r="N886" t="s">
        <v>51</v>
      </c>
      <c r="O886">
        <v>172798.4</v>
      </c>
      <c r="P886">
        <v>107135.01</v>
      </c>
      <c r="Q886">
        <v>65663.39</v>
      </c>
      <c r="R886" t="s">
        <v>32</v>
      </c>
      <c r="S886">
        <f t="shared" si="39"/>
        <v>4</v>
      </c>
      <c r="T886" s="2">
        <f t="shared" si="40"/>
        <v>0.62000001157418128</v>
      </c>
      <c r="U886" s="2">
        <f t="shared" si="41"/>
        <v>0.37999998842581878</v>
      </c>
    </row>
    <row r="887" spans="1:21" x14ac:dyDescent="0.3">
      <c r="A887">
        <v>10886</v>
      </c>
      <c r="B887" t="s">
        <v>133</v>
      </c>
      <c r="C887" t="s">
        <v>134</v>
      </c>
      <c r="D887" t="s">
        <v>20</v>
      </c>
      <c r="E887">
        <v>56</v>
      </c>
      <c r="F887" t="s">
        <v>40</v>
      </c>
      <c r="G887" t="s">
        <v>36</v>
      </c>
      <c r="H887" t="s">
        <v>37</v>
      </c>
      <c r="I887" t="s">
        <v>24</v>
      </c>
      <c r="J887">
        <v>12</v>
      </c>
      <c r="K887" s="1">
        <v>45898</v>
      </c>
      <c r="L887" s="1">
        <v>45911</v>
      </c>
      <c r="M887" t="s">
        <v>66</v>
      </c>
      <c r="N887" t="s">
        <v>26</v>
      </c>
      <c r="O887">
        <v>60361.22</v>
      </c>
      <c r="P887">
        <v>36820.339999999997</v>
      </c>
      <c r="Q887">
        <v>23540.880000000001</v>
      </c>
      <c r="R887" t="s">
        <v>32</v>
      </c>
      <c r="S887">
        <f t="shared" si="39"/>
        <v>13</v>
      </c>
      <c r="T887" s="2">
        <f t="shared" si="40"/>
        <v>0.60999993041890133</v>
      </c>
      <c r="U887" s="2">
        <f t="shared" si="41"/>
        <v>0.39000006958109862</v>
      </c>
    </row>
    <row r="888" spans="1:21" x14ac:dyDescent="0.3">
      <c r="A888">
        <v>10887</v>
      </c>
      <c r="B888" t="s">
        <v>146</v>
      </c>
      <c r="C888" t="s">
        <v>147</v>
      </c>
      <c r="D888" t="s">
        <v>30</v>
      </c>
      <c r="E888">
        <v>75</v>
      </c>
      <c r="F888" t="s">
        <v>84</v>
      </c>
      <c r="G888" t="s">
        <v>22</v>
      </c>
      <c r="H888" t="s">
        <v>23</v>
      </c>
      <c r="I888" t="s">
        <v>24</v>
      </c>
      <c r="J888">
        <v>15</v>
      </c>
      <c r="K888" s="1">
        <v>45921</v>
      </c>
      <c r="L888" s="1">
        <v>45923</v>
      </c>
      <c r="M888" t="s">
        <v>76</v>
      </c>
      <c r="N888" t="s">
        <v>26</v>
      </c>
      <c r="O888">
        <v>136985.99</v>
      </c>
      <c r="P888">
        <v>94520.33</v>
      </c>
      <c r="Q888">
        <v>42465.66</v>
      </c>
      <c r="R888" t="s">
        <v>32</v>
      </c>
      <c r="S888">
        <f t="shared" si="39"/>
        <v>2</v>
      </c>
      <c r="T888" s="2">
        <f t="shared" si="40"/>
        <v>0.68999997736994867</v>
      </c>
      <c r="U888" s="2">
        <f t="shared" si="41"/>
        <v>0.3100000226300515</v>
      </c>
    </row>
    <row r="889" spans="1:21" x14ac:dyDescent="0.3">
      <c r="A889">
        <v>10888</v>
      </c>
      <c r="B889" t="s">
        <v>160</v>
      </c>
      <c r="C889" t="s">
        <v>161</v>
      </c>
      <c r="D889" t="s">
        <v>20</v>
      </c>
      <c r="E889">
        <v>18</v>
      </c>
      <c r="F889" t="s">
        <v>54</v>
      </c>
      <c r="G889" t="s">
        <v>70</v>
      </c>
      <c r="H889" t="s">
        <v>71</v>
      </c>
      <c r="I889" t="s">
        <v>43</v>
      </c>
      <c r="J889">
        <v>11</v>
      </c>
      <c r="K889" s="1">
        <v>45837</v>
      </c>
      <c r="L889" s="1">
        <v>45842</v>
      </c>
      <c r="M889" t="s">
        <v>112</v>
      </c>
      <c r="N889" t="s">
        <v>26</v>
      </c>
      <c r="O889">
        <v>41065.83</v>
      </c>
      <c r="P889">
        <v>32031.35</v>
      </c>
      <c r="Q889">
        <v>9034.48</v>
      </c>
      <c r="R889" t="s">
        <v>32</v>
      </c>
      <c r="S889">
        <f t="shared" si="39"/>
        <v>5</v>
      </c>
      <c r="T889" s="2">
        <f t="shared" si="40"/>
        <v>0.78000006331297811</v>
      </c>
      <c r="U889" s="2">
        <f t="shared" si="41"/>
        <v>0.21999993668702178</v>
      </c>
    </row>
    <row r="890" spans="1:21" x14ac:dyDescent="0.3">
      <c r="A890">
        <v>10889</v>
      </c>
      <c r="B890" t="s">
        <v>73</v>
      </c>
      <c r="C890" t="s">
        <v>74</v>
      </c>
      <c r="D890" t="s">
        <v>20</v>
      </c>
      <c r="E890">
        <v>53</v>
      </c>
      <c r="F890" t="s">
        <v>75</v>
      </c>
      <c r="G890" t="s">
        <v>70</v>
      </c>
      <c r="H890" t="s">
        <v>71</v>
      </c>
      <c r="I890" t="s">
        <v>43</v>
      </c>
      <c r="J890">
        <v>11</v>
      </c>
      <c r="K890" s="1">
        <v>45818</v>
      </c>
      <c r="L890" s="1">
        <v>45832</v>
      </c>
      <c r="M890" t="s">
        <v>72</v>
      </c>
      <c r="N890" t="s">
        <v>26</v>
      </c>
      <c r="O890">
        <v>11029.45</v>
      </c>
      <c r="P890">
        <v>8933.85</v>
      </c>
      <c r="Q890">
        <v>2095.6</v>
      </c>
      <c r="R890" t="s">
        <v>32</v>
      </c>
      <c r="S890">
        <f t="shared" si="39"/>
        <v>14</v>
      </c>
      <c r="T890" s="2">
        <f t="shared" si="40"/>
        <v>0.80999959200141436</v>
      </c>
      <c r="U890" s="2">
        <f t="shared" si="41"/>
        <v>0.19000040799858559</v>
      </c>
    </row>
    <row r="891" spans="1:21" x14ac:dyDescent="0.3">
      <c r="A891">
        <v>10890</v>
      </c>
      <c r="B891" t="s">
        <v>162</v>
      </c>
      <c r="C891" t="s">
        <v>91</v>
      </c>
      <c r="D891" t="s">
        <v>30</v>
      </c>
      <c r="E891">
        <v>39</v>
      </c>
      <c r="F891" t="s">
        <v>119</v>
      </c>
      <c r="G891" t="s">
        <v>41</v>
      </c>
      <c r="H891" t="s">
        <v>42</v>
      </c>
      <c r="I891" t="s">
        <v>43</v>
      </c>
      <c r="J891">
        <v>9</v>
      </c>
      <c r="K891" s="1">
        <v>45664</v>
      </c>
      <c r="L891" s="1">
        <v>45670</v>
      </c>
      <c r="M891" t="s">
        <v>72</v>
      </c>
      <c r="N891" t="s">
        <v>26</v>
      </c>
      <c r="O891">
        <v>22639.06</v>
      </c>
      <c r="P891">
        <v>14715.39</v>
      </c>
      <c r="Q891">
        <v>7923.67</v>
      </c>
      <c r="R891" t="s">
        <v>32</v>
      </c>
      <c r="S891">
        <f t="shared" si="39"/>
        <v>6</v>
      </c>
      <c r="T891" s="2">
        <f t="shared" si="40"/>
        <v>0.65000004417144519</v>
      </c>
      <c r="U891" s="2">
        <f t="shared" si="41"/>
        <v>0.3499999558285547</v>
      </c>
    </row>
    <row r="892" spans="1:21" x14ac:dyDescent="0.3">
      <c r="A892">
        <v>10891</v>
      </c>
      <c r="B892" t="s">
        <v>162</v>
      </c>
      <c r="C892" t="s">
        <v>91</v>
      </c>
      <c r="D892" t="s">
        <v>30</v>
      </c>
      <c r="E892">
        <v>39</v>
      </c>
      <c r="F892" t="s">
        <v>119</v>
      </c>
      <c r="G892" t="s">
        <v>41</v>
      </c>
      <c r="H892" t="s">
        <v>42</v>
      </c>
      <c r="I892" t="s">
        <v>43</v>
      </c>
      <c r="J892">
        <v>9</v>
      </c>
      <c r="K892" s="1">
        <v>45912</v>
      </c>
      <c r="L892" s="1">
        <v>45915</v>
      </c>
      <c r="M892" t="s">
        <v>44</v>
      </c>
      <c r="N892" t="s">
        <v>26</v>
      </c>
      <c r="O892">
        <v>20932.240000000002</v>
      </c>
      <c r="P892">
        <v>12977.99</v>
      </c>
      <c r="Q892">
        <v>7954.25</v>
      </c>
      <c r="R892" t="s">
        <v>32</v>
      </c>
      <c r="S892">
        <f t="shared" si="39"/>
        <v>3</v>
      </c>
      <c r="T892" s="2">
        <f t="shared" si="40"/>
        <v>0.62000005732783492</v>
      </c>
      <c r="U892" s="2">
        <f t="shared" si="41"/>
        <v>0.37999994267216503</v>
      </c>
    </row>
    <row r="893" spans="1:21" x14ac:dyDescent="0.3">
      <c r="A893">
        <v>10892</v>
      </c>
      <c r="B893" t="s">
        <v>92</v>
      </c>
      <c r="C893" t="s">
        <v>93</v>
      </c>
      <c r="D893" t="s">
        <v>20</v>
      </c>
      <c r="E893">
        <v>40</v>
      </c>
      <c r="F893" t="s">
        <v>54</v>
      </c>
      <c r="G893" t="s">
        <v>60</v>
      </c>
      <c r="H893" t="s">
        <v>61</v>
      </c>
      <c r="I893" t="s">
        <v>62</v>
      </c>
      <c r="J893">
        <v>18</v>
      </c>
      <c r="K893" s="1">
        <v>45877</v>
      </c>
      <c r="L893" s="1">
        <v>45881</v>
      </c>
      <c r="M893" t="s">
        <v>77</v>
      </c>
      <c r="N893" t="s">
        <v>26</v>
      </c>
      <c r="O893">
        <v>87927.82</v>
      </c>
      <c r="P893">
        <v>66825.14</v>
      </c>
      <c r="Q893">
        <v>21102.68</v>
      </c>
      <c r="R893" t="s">
        <v>32</v>
      </c>
      <c r="S893">
        <f t="shared" si="39"/>
        <v>4</v>
      </c>
      <c r="T893" s="2">
        <f t="shared" si="40"/>
        <v>0.75999996360651267</v>
      </c>
      <c r="U893" s="2">
        <f t="shared" si="41"/>
        <v>0.24000003639348727</v>
      </c>
    </row>
    <row r="894" spans="1:21" x14ac:dyDescent="0.3">
      <c r="A894">
        <v>10893</v>
      </c>
      <c r="B894" t="s">
        <v>92</v>
      </c>
      <c r="C894" t="s">
        <v>93</v>
      </c>
      <c r="D894" t="s">
        <v>20</v>
      </c>
      <c r="E894">
        <v>40</v>
      </c>
      <c r="F894" t="s">
        <v>54</v>
      </c>
      <c r="G894" t="s">
        <v>47</v>
      </c>
      <c r="H894" t="s">
        <v>48</v>
      </c>
      <c r="I894" t="s">
        <v>49</v>
      </c>
      <c r="J894">
        <v>8</v>
      </c>
      <c r="K894" s="1">
        <v>45738</v>
      </c>
      <c r="L894" s="1">
        <v>45751</v>
      </c>
      <c r="M894" t="s">
        <v>50</v>
      </c>
      <c r="N894" t="s">
        <v>51</v>
      </c>
      <c r="O894">
        <v>172765.18</v>
      </c>
      <c r="P894">
        <v>105386.76</v>
      </c>
      <c r="Q894">
        <v>67378.42</v>
      </c>
      <c r="R894" t="s">
        <v>32</v>
      </c>
      <c r="S894">
        <f t="shared" si="39"/>
        <v>13</v>
      </c>
      <c r="T894" s="2">
        <f t="shared" si="40"/>
        <v>0.61000000115764064</v>
      </c>
      <c r="U894" s="2">
        <f t="shared" si="41"/>
        <v>0.38999999884235931</v>
      </c>
    </row>
    <row r="895" spans="1:21" x14ac:dyDescent="0.3">
      <c r="A895">
        <v>10894</v>
      </c>
      <c r="B895" t="s">
        <v>131</v>
      </c>
      <c r="C895" t="s">
        <v>132</v>
      </c>
      <c r="D895" t="s">
        <v>20</v>
      </c>
      <c r="E895">
        <v>68</v>
      </c>
      <c r="F895" t="s">
        <v>31</v>
      </c>
      <c r="G895" t="s">
        <v>55</v>
      </c>
      <c r="H895" t="s">
        <v>56</v>
      </c>
      <c r="I895" t="s">
        <v>49</v>
      </c>
      <c r="J895">
        <v>10</v>
      </c>
      <c r="K895" s="1">
        <v>45994</v>
      </c>
      <c r="L895" s="1">
        <v>46003</v>
      </c>
      <c r="M895" t="s">
        <v>85</v>
      </c>
      <c r="N895" t="s">
        <v>26</v>
      </c>
      <c r="O895">
        <v>85284.53</v>
      </c>
      <c r="P895">
        <v>57993.48</v>
      </c>
      <c r="Q895">
        <v>27291.05</v>
      </c>
      <c r="R895" t="s">
        <v>27</v>
      </c>
      <c r="S895">
        <f t="shared" si="39"/>
        <v>9</v>
      </c>
      <c r="T895" s="2">
        <f t="shared" si="40"/>
        <v>0.6799999953098177</v>
      </c>
      <c r="U895" s="2">
        <f t="shared" si="41"/>
        <v>0.32000000469018236</v>
      </c>
    </row>
    <row r="896" spans="1:21" x14ac:dyDescent="0.3">
      <c r="A896">
        <v>10895</v>
      </c>
      <c r="B896" t="s">
        <v>86</v>
      </c>
      <c r="C896" t="s">
        <v>87</v>
      </c>
      <c r="D896" t="s">
        <v>30</v>
      </c>
      <c r="E896">
        <v>23</v>
      </c>
      <c r="F896" t="s">
        <v>31</v>
      </c>
      <c r="G896" t="s">
        <v>36</v>
      </c>
      <c r="H896" t="s">
        <v>37</v>
      </c>
      <c r="I896" t="s">
        <v>24</v>
      </c>
      <c r="J896">
        <v>12</v>
      </c>
      <c r="K896" s="1">
        <v>45878</v>
      </c>
      <c r="L896" s="1">
        <v>45887</v>
      </c>
      <c r="M896" t="s">
        <v>25</v>
      </c>
      <c r="N896" t="s">
        <v>26</v>
      </c>
      <c r="O896">
        <v>147583.65</v>
      </c>
      <c r="P896">
        <v>116591.08</v>
      </c>
      <c r="Q896">
        <v>30992.57</v>
      </c>
      <c r="R896" t="s">
        <v>32</v>
      </c>
      <c r="S896">
        <f t="shared" si="39"/>
        <v>9</v>
      </c>
      <c r="T896" s="2">
        <f t="shared" si="40"/>
        <v>0.78999997628463592</v>
      </c>
      <c r="U896" s="2">
        <f t="shared" si="41"/>
        <v>0.21000002371536414</v>
      </c>
    </row>
    <row r="897" spans="1:21" x14ac:dyDescent="0.3">
      <c r="A897">
        <v>10896</v>
      </c>
      <c r="B897" t="s">
        <v>108</v>
      </c>
      <c r="C897" t="s">
        <v>109</v>
      </c>
      <c r="D897" t="s">
        <v>20</v>
      </c>
      <c r="E897">
        <v>34</v>
      </c>
      <c r="F897" t="s">
        <v>40</v>
      </c>
      <c r="G897" t="s">
        <v>47</v>
      </c>
      <c r="H897" t="s">
        <v>48</v>
      </c>
      <c r="I897" t="s">
        <v>49</v>
      </c>
      <c r="J897">
        <v>8</v>
      </c>
      <c r="K897" s="1">
        <v>45868</v>
      </c>
      <c r="L897" s="1">
        <v>45882</v>
      </c>
      <c r="M897" t="s">
        <v>50</v>
      </c>
      <c r="N897" t="s">
        <v>51</v>
      </c>
      <c r="O897">
        <v>376048.03</v>
      </c>
      <c r="P897">
        <v>312119.86</v>
      </c>
      <c r="Q897">
        <v>63928.17</v>
      </c>
      <c r="R897" t="s">
        <v>32</v>
      </c>
      <c r="S897">
        <f t="shared" si="39"/>
        <v>14</v>
      </c>
      <c r="T897" s="2">
        <f t="shared" si="40"/>
        <v>0.82999998696974953</v>
      </c>
      <c r="U897" s="2">
        <f t="shared" si="41"/>
        <v>0.17000001303025039</v>
      </c>
    </row>
    <row r="898" spans="1:21" x14ac:dyDescent="0.3">
      <c r="A898">
        <v>10897</v>
      </c>
      <c r="B898" t="s">
        <v>73</v>
      </c>
      <c r="C898" t="s">
        <v>74</v>
      </c>
      <c r="D898" t="s">
        <v>20</v>
      </c>
      <c r="E898">
        <v>53</v>
      </c>
      <c r="F898" t="s">
        <v>75</v>
      </c>
      <c r="G898" t="s">
        <v>47</v>
      </c>
      <c r="H898" t="s">
        <v>48</v>
      </c>
      <c r="I898" t="s">
        <v>49</v>
      </c>
      <c r="J898">
        <v>8</v>
      </c>
      <c r="K898" s="1">
        <v>45771</v>
      </c>
      <c r="L898" s="1">
        <v>45785</v>
      </c>
      <c r="M898" t="s">
        <v>50</v>
      </c>
      <c r="N898" t="s">
        <v>51</v>
      </c>
      <c r="O898">
        <v>196312.12</v>
      </c>
      <c r="P898">
        <v>127602.88</v>
      </c>
      <c r="Q898">
        <v>68709.240000000005</v>
      </c>
      <c r="R898" t="s">
        <v>32</v>
      </c>
      <c r="S898">
        <f t="shared" si="39"/>
        <v>14</v>
      </c>
      <c r="T898" s="2">
        <f t="shared" si="40"/>
        <v>0.65000001018785802</v>
      </c>
      <c r="U898" s="2">
        <f t="shared" si="41"/>
        <v>0.34999998981214203</v>
      </c>
    </row>
    <row r="899" spans="1:21" x14ac:dyDescent="0.3">
      <c r="A899">
        <v>10898</v>
      </c>
      <c r="B899" t="s">
        <v>160</v>
      </c>
      <c r="C899" t="s">
        <v>161</v>
      </c>
      <c r="D899" t="s">
        <v>20</v>
      </c>
      <c r="E899">
        <v>18</v>
      </c>
      <c r="F899" t="s">
        <v>54</v>
      </c>
      <c r="G899" t="s">
        <v>60</v>
      </c>
      <c r="H899" t="s">
        <v>61</v>
      </c>
      <c r="I899" t="s">
        <v>62</v>
      </c>
      <c r="J899">
        <v>18</v>
      </c>
      <c r="K899" s="1">
        <v>45675</v>
      </c>
      <c r="L899" s="1">
        <v>45684</v>
      </c>
      <c r="M899" t="s">
        <v>96</v>
      </c>
      <c r="N899" t="s">
        <v>26</v>
      </c>
      <c r="O899">
        <v>131186.47</v>
      </c>
      <c r="P899">
        <v>110196.63</v>
      </c>
      <c r="Q899">
        <v>20989.84</v>
      </c>
      <c r="R899" t="s">
        <v>32</v>
      </c>
      <c r="S899">
        <f t="shared" ref="S899:S962" si="42">L899-K899</f>
        <v>9</v>
      </c>
      <c r="T899" s="2">
        <f t="shared" ref="T899:T962" si="43">P899/O899</f>
        <v>0.83999996341086092</v>
      </c>
      <c r="U899" s="2">
        <f t="shared" ref="U899:U962" si="44">Q899/O899</f>
        <v>0.16000003658913911</v>
      </c>
    </row>
    <row r="900" spans="1:21" x14ac:dyDescent="0.3">
      <c r="A900">
        <v>10899</v>
      </c>
      <c r="B900" t="s">
        <v>141</v>
      </c>
      <c r="C900" t="s">
        <v>142</v>
      </c>
      <c r="D900" t="s">
        <v>30</v>
      </c>
      <c r="E900">
        <v>47</v>
      </c>
      <c r="F900" t="s">
        <v>54</v>
      </c>
      <c r="G900" t="s">
        <v>88</v>
      </c>
      <c r="H900" t="s">
        <v>89</v>
      </c>
      <c r="I900" t="s">
        <v>62</v>
      </c>
      <c r="J900">
        <v>14</v>
      </c>
      <c r="K900" s="1">
        <v>45714</v>
      </c>
      <c r="L900" s="1">
        <v>45722</v>
      </c>
      <c r="M900" t="s">
        <v>77</v>
      </c>
      <c r="N900" t="s">
        <v>51</v>
      </c>
      <c r="O900">
        <v>84731.83</v>
      </c>
      <c r="P900">
        <v>62701.55</v>
      </c>
      <c r="Q900">
        <v>22030.28</v>
      </c>
      <c r="R900" t="s">
        <v>32</v>
      </c>
      <c r="S900">
        <f t="shared" si="42"/>
        <v>8</v>
      </c>
      <c r="T900" s="2">
        <f t="shared" si="43"/>
        <v>0.73999995043185074</v>
      </c>
      <c r="U900" s="2">
        <f t="shared" si="44"/>
        <v>0.26000004956814926</v>
      </c>
    </row>
    <row r="901" spans="1:21" x14ac:dyDescent="0.3">
      <c r="A901">
        <v>10900</v>
      </c>
      <c r="B901" t="s">
        <v>117</v>
      </c>
      <c r="C901" t="s">
        <v>118</v>
      </c>
      <c r="D901" t="s">
        <v>20</v>
      </c>
      <c r="E901">
        <v>65</v>
      </c>
      <c r="F901" t="s">
        <v>119</v>
      </c>
      <c r="G901" t="s">
        <v>36</v>
      </c>
      <c r="H901" t="s">
        <v>37</v>
      </c>
      <c r="I901" t="s">
        <v>24</v>
      </c>
      <c r="J901">
        <v>12</v>
      </c>
      <c r="K901" s="1">
        <v>45931</v>
      </c>
      <c r="L901" s="1">
        <v>45938</v>
      </c>
      <c r="M901" t="s">
        <v>76</v>
      </c>
      <c r="N901" t="s">
        <v>26</v>
      </c>
      <c r="O901">
        <v>155606.26999999999</v>
      </c>
      <c r="P901">
        <v>110480.45</v>
      </c>
      <c r="Q901">
        <v>45125.82</v>
      </c>
      <c r="R901" t="s">
        <v>32</v>
      </c>
      <c r="S901">
        <f t="shared" si="42"/>
        <v>7</v>
      </c>
      <c r="T901" s="2">
        <f t="shared" si="43"/>
        <v>0.7099999890749904</v>
      </c>
      <c r="U901" s="2">
        <f t="shared" si="44"/>
        <v>0.29000001092500965</v>
      </c>
    </row>
    <row r="902" spans="1:21" x14ac:dyDescent="0.3">
      <c r="A902">
        <v>10901</v>
      </c>
      <c r="B902" t="s">
        <v>120</v>
      </c>
      <c r="C902" t="s">
        <v>74</v>
      </c>
      <c r="D902" t="s">
        <v>20</v>
      </c>
      <c r="E902">
        <v>61</v>
      </c>
      <c r="F902" t="s">
        <v>69</v>
      </c>
      <c r="G902" t="s">
        <v>55</v>
      </c>
      <c r="H902" t="s">
        <v>56</v>
      </c>
      <c r="I902" t="s">
        <v>49</v>
      </c>
      <c r="J902">
        <v>10</v>
      </c>
      <c r="K902" s="1">
        <v>45884</v>
      </c>
      <c r="L902" s="1">
        <v>45886</v>
      </c>
      <c r="M902" t="s">
        <v>50</v>
      </c>
      <c r="N902" t="s">
        <v>26</v>
      </c>
      <c r="O902">
        <v>333978.12</v>
      </c>
      <c r="P902">
        <v>250483.59</v>
      </c>
      <c r="Q902">
        <v>83494.53</v>
      </c>
      <c r="R902" t="s">
        <v>32</v>
      </c>
      <c r="S902">
        <f t="shared" si="42"/>
        <v>2</v>
      </c>
      <c r="T902" s="2">
        <f t="shared" si="43"/>
        <v>0.75</v>
      </c>
      <c r="U902" s="2">
        <f t="shared" si="44"/>
        <v>0.25</v>
      </c>
    </row>
    <row r="903" spans="1:21" x14ac:dyDescent="0.3">
      <c r="A903">
        <v>10902</v>
      </c>
      <c r="B903" t="s">
        <v>121</v>
      </c>
      <c r="C903" t="s">
        <v>122</v>
      </c>
      <c r="D903" t="s">
        <v>20</v>
      </c>
      <c r="E903">
        <v>23</v>
      </c>
      <c r="F903" t="s">
        <v>59</v>
      </c>
      <c r="G903" t="s">
        <v>88</v>
      </c>
      <c r="H903" t="s">
        <v>89</v>
      </c>
      <c r="I903" t="s">
        <v>62</v>
      </c>
      <c r="J903">
        <v>14</v>
      </c>
      <c r="K903" s="1">
        <v>45949</v>
      </c>
      <c r="L903" s="1">
        <v>45958</v>
      </c>
      <c r="M903" t="s">
        <v>63</v>
      </c>
      <c r="N903" t="s">
        <v>26</v>
      </c>
      <c r="O903">
        <v>29152.799999999999</v>
      </c>
      <c r="P903">
        <v>19823.900000000001</v>
      </c>
      <c r="Q903">
        <v>9328.9</v>
      </c>
      <c r="R903" t="s">
        <v>32</v>
      </c>
      <c r="S903">
        <f t="shared" si="42"/>
        <v>9</v>
      </c>
      <c r="T903" s="2">
        <f t="shared" si="43"/>
        <v>0.67999986279191027</v>
      </c>
      <c r="U903" s="2">
        <f t="shared" si="44"/>
        <v>0.32000013720808979</v>
      </c>
    </row>
    <row r="904" spans="1:21" x14ac:dyDescent="0.3">
      <c r="A904">
        <v>10903</v>
      </c>
      <c r="B904" t="s">
        <v>97</v>
      </c>
      <c r="C904" t="s">
        <v>98</v>
      </c>
      <c r="D904" t="s">
        <v>20</v>
      </c>
      <c r="E904">
        <v>43</v>
      </c>
      <c r="F904" t="s">
        <v>69</v>
      </c>
      <c r="G904" t="s">
        <v>47</v>
      </c>
      <c r="H904" t="s">
        <v>48</v>
      </c>
      <c r="I904" t="s">
        <v>49</v>
      </c>
      <c r="J904">
        <v>8</v>
      </c>
      <c r="K904" s="1">
        <v>45868</v>
      </c>
      <c r="L904" s="1">
        <v>45882</v>
      </c>
      <c r="M904" t="s">
        <v>50</v>
      </c>
      <c r="N904" t="s">
        <v>26</v>
      </c>
      <c r="O904">
        <v>298478.05</v>
      </c>
      <c r="P904">
        <v>250721.56</v>
      </c>
      <c r="Q904">
        <v>47756.49</v>
      </c>
      <c r="R904" t="s">
        <v>27</v>
      </c>
      <c r="S904">
        <f t="shared" si="42"/>
        <v>14</v>
      </c>
      <c r="T904" s="2">
        <f t="shared" si="43"/>
        <v>0.83999999329933983</v>
      </c>
      <c r="U904" s="2">
        <f t="shared" si="44"/>
        <v>0.16000000670066022</v>
      </c>
    </row>
    <row r="905" spans="1:21" x14ac:dyDescent="0.3">
      <c r="A905">
        <v>10904</v>
      </c>
      <c r="B905" t="s">
        <v>133</v>
      </c>
      <c r="C905" t="s">
        <v>134</v>
      </c>
      <c r="D905" t="s">
        <v>20</v>
      </c>
      <c r="E905">
        <v>56</v>
      </c>
      <c r="F905" t="s">
        <v>40</v>
      </c>
      <c r="G905" t="s">
        <v>60</v>
      </c>
      <c r="H905" t="s">
        <v>61</v>
      </c>
      <c r="I905" t="s">
        <v>62</v>
      </c>
      <c r="J905">
        <v>18</v>
      </c>
      <c r="K905" s="1">
        <v>45722</v>
      </c>
      <c r="L905" s="1">
        <v>45732</v>
      </c>
      <c r="M905" t="s">
        <v>63</v>
      </c>
      <c r="N905" t="s">
        <v>26</v>
      </c>
      <c r="O905">
        <v>23304.17</v>
      </c>
      <c r="P905">
        <v>17711.169999999998</v>
      </c>
      <c r="Q905">
        <v>5593</v>
      </c>
      <c r="R905" t="s">
        <v>32</v>
      </c>
      <c r="S905">
        <f t="shared" si="42"/>
        <v>10</v>
      </c>
      <c r="T905" s="2">
        <f t="shared" si="43"/>
        <v>0.76000003432862018</v>
      </c>
      <c r="U905" s="2">
        <f t="shared" si="44"/>
        <v>0.23999996567137985</v>
      </c>
    </row>
    <row r="906" spans="1:21" x14ac:dyDescent="0.3">
      <c r="A906">
        <v>10905</v>
      </c>
      <c r="B906" t="s">
        <v>67</v>
      </c>
      <c r="C906" t="s">
        <v>68</v>
      </c>
      <c r="D906" t="s">
        <v>20</v>
      </c>
      <c r="E906">
        <v>33</v>
      </c>
      <c r="F906" t="s">
        <v>69</v>
      </c>
      <c r="G906" t="s">
        <v>47</v>
      </c>
      <c r="H906" t="s">
        <v>48</v>
      </c>
      <c r="I906" t="s">
        <v>49</v>
      </c>
      <c r="J906">
        <v>8</v>
      </c>
      <c r="K906" s="1">
        <v>45785</v>
      </c>
      <c r="L906" s="1">
        <v>45795</v>
      </c>
      <c r="M906" t="s">
        <v>85</v>
      </c>
      <c r="N906" t="s">
        <v>26</v>
      </c>
      <c r="O906">
        <v>98860.39</v>
      </c>
      <c r="P906">
        <v>70190.880000000005</v>
      </c>
      <c r="Q906">
        <v>28669.51</v>
      </c>
      <c r="R906" t="s">
        <v>32</v>
      </c>
      <c r="S906">
        <f t="shared" si="42"/>
        <v>10</v>
      </c>
      <c r="T906" s="2">
        <f t="shared" si="43"/>
        <v>0.71000003135735157</v>
      </c>
      <c r="U906" s="2">
        <f t="shared" si="44"/>
        <v>0.28999996864264849</v>
      </c>
    </row>
    <row r="907" spans="1:21" x14ac:dyDescent="0.3">
      <c r="A907">
        <v>10906</v>
      </c>
      <c r="B907" t="s">
        <v>94</v>
      </c>
      <c r="C907" t="s">
        <v>95</v>
      </c>
      <c r="D907" t="s">
        <v>30</v>
      </c>
      <c r="E907">
        <v>66</v>
      </c>
      <c r="F907" t="s">
        <v>54</v>
      </c>
      <c r="G907" t="s">
        <v>41</v>
      </c>
      <c r="H907" t="s">
        <v>42</v>
      </c>
      <c r="I907" t="s">
        <v>43</v>
      </c>
      <c r="J907">
        <v>9</v>
      </c>
      <c r="K907" s="1">
        <v>45860</v>
      </c>
      <c r="L907" s="1">
        <v>45870</v>
      </c>
      <c r="M907" t="s">
        <v>112</v>
      </c>
      <c r="N907" t="s">
        <v>26</v>
      </c>
      <c r="O907">
        <v>67512.22</v>
      </c>
      <c r="P907">
        <v>56035.14</v>
      </c>
      <c r="Q907">
        <v>11477.08</v>
      </c>
      <c r="R907" t="s">
        <v>32</v>
      </c>
      <c r="S907">
        <f t="shared" si="42"/>
        <v>10</v>
      </c>
      <c r="T907" s="2">
        <f t="shared" si="43"/>
        <v>0.82999996148845345</v>
      </c>
      <c r="U907" s="2">
        <f t="shared" si="44"/>
        <v>0.17000003851154649</v>
      </c>
    </row>
    <row r="908" spans="1:21" x14ac:dyDescent="0.3">
      <c r="A908">
        <v>10907</v>
      </c>
      <c r="B908" t="s">
        <v>150</v>
      </c>
      <c r="C908" t="s">
        <v>151</v>
      </c>
      <c r="D908" t="s">
        <v>30</v>
      </c>
      <c r="E908">
        <v>47</v>
      </c>
      <c r="F908" t="s">
        <v>54</v>
      </c>
      <c r="G908" t="s">
        <v>22</v>
      </c>
      <c r="H908" t="s">
        <v>23</v>
      </c>
      <c r="I908" t="s">
        <v>24</v>
      </c>
      <c r="J908">
        <v>15</v>
      </c>
      <c r="K908" s="1">
        <v>45802</v>
      </c>
      <c r="L908" s="1">
        <v>45813</v>
      </c>
      <c r="M908" t="s">
        <v>25</v>
      </c>
      <c r="N908" t="s">
        <v>26</v>
      </c>
      <c r="O908">
        <v>217556.32</v>
      </c>
      <c r="P908">
        <v>134884.92000000001</v>
      </c>
      <c r="Q908">
        <v>82671.399999999994</v>
      </c>
      <c r="R908" t="s">
        <v>27</v>
      </c>
      <c r="S908">
        <f t="shared" si="42"/>
        <v>11</v>
      </c>
      <c r="T908" s="2">
        <f t="shared" si="43"/>
        <v>0.62000000735441751</v>
      </c>
      <c r="U908" s="2">
        <f t="shared" si="44"/>
        <v>0.37999999264558249</v>
      </c>
    </row>
    <row r="909" spans="1:21" x14ac:dyDescent="0.3">
      <c r="A909">
        <v>10908</v>
      </c>
      <c r="B909" t="s">
        <v>92</v>
      </c>
      <c r="C909" t="s">
        <v>93</v>
      </c>
      <c r="D909" t="s">
        <v>20</v>
      </c>
      <c r="E909">
        <v>40</v>
      </c>
      <c r="F909" t="s">
        <v>54</v>
      </c>
      <c r="G909" t="s">
        <v>41</v>
      </c>
      <c r="H909" t="s">
        <v>42</v>
      </c>
      <c r="I909" t="s">
        <v>43</v>
      </c>
      <c r="J909">
        <v>9</v>
      </c>
      <c r="K909" s="1">
        <v>45849</v>
      </c>
      <c r="L909" s="1">
        <v>45859</v>
      </c>
      <c r="M909" t="s">
        <v>72</v>
      </c>
      <c r="N909" t="s">
        <v>26</v>
      </c>
      <c r="O909">
        <v>22810.799999999999</v>
      </c>
      <c r="P909">
        <v>15055.13</v>
      </c>
      <c r="Q909">
        <v>7755.67</v>
      </c>
      <c r="R909" t="s">
        <v>32</v>
      </c>
      <c r="S909">
        <f t="shared" si="42"/>
        <v>10</v>
      </c>
      <c r="T909" s="2">
        <f t="shared" si="43"/>
        <v>0.66000008767776663</v>
      </c>
      <c r="U909" s="2">
        <f t="shared" si="44"/>
        <v>0.33999991232223337</v>
      </c>
    </row>
    <row r="910" spans="1:21" x14ac:dyDescent="0.3">
      <c r="A910">
        <v>10909</v>
      </c>
      <c r="B910" t="s">
        <v>117</v>
      </c>
      <c r="C910" t="s">
        <v>118</v>
      </c>
      <c r="D910" t="s">
        <v>20</v>
      </c>
      <c r="E910">
        <v>65</v>
      </c>
      <c r="F910" t="s">
        <v>119</v>
      </c>
      <c r="G910" t="s">
        <v>36</v>
      </c>
      <c r="H910" t="s">
        <v>37</v>
      </c>
      <c r="I910" t="s">
        <v>24</v>
      </c>
      <c r="J910">
        <v>12</v>
      </c>
      <c r="K910" s="1">
        <v>45890</v>
      </c>
      <c r="L910" s="1">
        <v>45897</v>
      </c>
      <c r="M910" t="s">
        <v>25</v>
      </c>
      <c r="N910" t="s">
        <v>26</v>
      </c>
      <c r="O910">
        <v>245785.82</v>
      </c>
      <c r="P910">
        <v>154845.07</v>
      </c>
      <c r="Q910">
        <v>90940.75</v>
      </c>
      <c r="R910" t="s">
        <v>32</v>
      </c>
      <c r="S910">
        <f t="shared" si="42"/>
        <v>7</v>
      </c>
      <c r="T910" s="2">
        <f t="shared" si="43"/>
        <v>0.63000001383318205</v>
      </c>
      <c r="U910" s="2">
        <f t="shared" si="44"/>
        <v>0.3699999861668179</v>
      </c>
    </row>
    <row r="911" spans="1:21" x14ac:dyDescent="0.3">
      <c r="A911">
        <v>10910</v>
      </c>
      <c r="B911" t="s">
        <v>78</v>
      </c>
      <c r="C911" t="s">
        <v>79</v>
      </c>
      <c r="D911" t="s">
        <v>20</v>
      </c>
      <c r="E911">
        <v>67</v>
      </c>
      <c r="F911" t="s">
        <v>35</v>
      </c>
      <c r="G911" t="s">
        <v>70</v>
      </c>
      <c r="H911" t="s">
        <v>71</v>
      </c>
      <c r="I911" t="s">
        <v>43</v>
      </c>
      <c r="J911">
        <v>11</v>
      </c>
      <c r="K911" s="1">
        <v>45839</v>
      </c>
      <c r="L911" s="1">
        <v>45852</v>
      </c>
      <c r="M911" t="s">
        <v>72</v>
      </c>
      <c r="N911" t="s">
        <v>26</v>
      </c>
      <c r="O911">
        <v>20128.849999999999</v>
      </c>
      <c r="P911">
        <v>12278.6</v>
      </c>
      <c r="Q911">
        <v>7850.25</v>
      </c>
      <c r="R911" t="s">
        <v>27</v>
      </c>
      <c r="S911">
        <f t="shared" si="42"/>
        <v>13</v>
      </c>
      <c r="T911" s="2">
        <f t="shared" si="43"/>
        <v>0.61000007451990557</v>
      </c>
      <c r="U911" s="2">
        <f t="shared" si="44"/>
        <v>0.38999992548009454</v>
      </c>
    </row>
    <row r="912" spans="1:21" x14ac:dyDescent="0.3">
      <c r="A912">
        <v>10911</v>
      </c>
      <c r="B912" t="s">
        <v>102</v>
      </c>
      <c r="C912" t="s">
        <v>103</v>
      </c>
      <c r="D912" t="s">
        <v>30</v>
      </c>
      <c r="E912">
        <v>59</v>
      </c>
      <c r="F912" t="s">
        <v>75</v>
      </c>
      <c r="G912" t="s">
        <v>55</v>
      </c>
      <c r="H912" t="s">
        <v>56</v>
      </c>
      <c r="I912" t="s">
        <v>49</v>
      </c>
      <c r="J912">
        <v>10</v>
      </c>
      <c r="K912" s="1">
        <v>45794</v>
      </c>
      <c r="L912" s="1">
        <v>45796</v>
      </c>
      <c r="M912" t="s">
        <v>50</v>
      </c>
      <c r="N912" t="s">
        <v>26</v>
      </c>
      <c r="O912">
        <v>293975.78000000003</v>
      </c>
      <c r="P912">
        <v>188144.5</v>
      </c>
      <c r="Q912">
        <v>105831.28</v>
      </c>
      <c r="R912" t="s">
        <v>32</v>
      </c>
      <c r="S912">
        <f t="shared" si="42"/>
        <v>2</v>
      </c>
      <c r="T912" s="2">
        <f t="shared" si="43"/>
        <v>0.64000000272131252</v>
      </c>
      <c r="U912" s="2">
        <f t="shared" si="44"/>
        <v>0.35999999727868737</v>
      </c>
    </row>
    <row r="913" spans="1:21" x14ac:dyDescent="0.3">
      <c r="A913">
        <v>10912</v>
      </c>
      <c r="B913" t="s">
        <v>148</v>
      </c>
      <c r="C913" t="s">
        <v>149</v>
      </c>
      <c r="D913" t="s">
        <v>30</v>
      </c>
      <c r="E913">
        <v>19</v>
      </c>
      <c r="F913" t="s">
        <v>21</v>
      </c>
      <c r="G913" t="s">
        <v>60</v>
      </c>
      <c r="H913" t="s">
        <v>61</v>
      </c>
      <c r="I913" t="s">
        <v>62</v>
      </c>
      <c r="J913">
        <v>18</v>
      </c>
      <c r="K913" s="1">
        <v>45917</v>
      </c>
      <c r="L913" s="1">
        <v>45925</v>
      </c>
      <c r="M913" t="s">
        <v>96</v>
      </c>
      <c r="N913" t="s">
        <v>51</v>
      </c>
      <c r="O913">
        <v>228767.72</v>
      </c>
      <c r="P913">
        <v>155562.04999999999</v>
      </c>
      <c r="Q913">
        <v>73205.67</v>
      </c>
      <c r="R913" t="s">
        <v>32</v>
      </c>
      <c r="S913">
        <f t="shared" si="42"/>
        <v>8</v>
      </c>
      <c r="T913" s="2">
        <f t="shared" si="43"/>
        <v>0.68000000174849839</v>
      </c>
      <c r="U913" s="2">
        <f t="shared" si="44"/>
        <v>0.31999999825150155</v>
      </c>
    </row>
    <row r="914" spans="1:21" x14ac:dyDescent="0.3">
      <c r="A914">
        <v>10913</v>
      </c>
      <c r="B914" t="s">
        <v>162</v>
      </c>
      <c r="C914" t="s">
        <v>91</v>
      </c>
      <c r="D914" t="s">
        <v>30</v>
      </c>
      <c r="E914">
        <v>39</v>
      </c>
      <c r="F914" t="s">
        <v>119</v>
      </c>
      <c r="G914" t="s">
        <v>70</v>
      </c>
      <c r="H914" t="s">
        <v>71</v>
      </c>
      <c r="I914" t="s">
        <v>43</v>
      </c>
      <c r="J914">
        <v>11</v>
      </c>
      <c r="K914" s="1">
        <v>45712</v>
      </c>
      <c r="L914" s="1">
        <v>45717</v>
      </c>
      <c r="M914" t="s">
        <v>112</v>
      </c>
      <c r="N914" t="s">
        <v>26</v>
      </c>
      <c r="O914">
        <v>67312.14</v>
      </c>
      <c r="P914">
        <v>49810.98</v>
      </c>
      <c r="Q914">
        <v>17501.16</v>
      </c>
      <c r="R914" t="s">
        <v>32</v>
      </c>
      <c r="S914">
        <f t="shared" si="42"/>
        <v>5</v>
      </c>
      <c r="T914" s="2">
        <f t="shared" si="43"/>
        <v>0.73999994651781986</v>
      </c>
      <c r="U914" s="2">
        <f t="shared" si="44"/>
        <v>0.26000005348218019</v>
      </c>
    </row>
    <row r="915" spans="1:21" x14ac:dyDescent="0.3">
      <c r="A915">
        <v>10914</v>
      </c>
      <c r="B915" t="s">
        <v>133</v>
      </c>
      <c r="C915" t="s">
        <v>134</v>
      </c>
      <c r="D915" t="s">
        <v>20</v>
      </c>
      <c r="E915">
        <v>56</v>
      </c>
      <c r="F915" t="s">
        <v>40</v>
      </c>
      <c r="G915" t="s">
        <v>55</v>
      </c>
      <c r="H915" t="s">
        <v>56</v>
      </c>
      <c r="I915" t="s">
        <v>49</v>
      </c>
      <c r="J915">
        <v>10</v>
      </c>
      <c r="K915" s="1">
        <v>45880</v>
      </c>
      <c r="L915" s="1">
        <v>45882</v>
      </c>
      <c r="M915" t="s">
        <v>101</v>
      </c>
      <c r="N915" t="s">
        <v>26</v>
      </c>
      <c r="O915">
        <v>47268.38</v>
      </c>
      <c r="P915">
        <v>37342.019999999997</v>
      </c>
      <c r="Q915">
        <v>9926.36</v>
      </c>
      <c r="R915" t="s">
        <v>32</v>
      </c>
      <c r="S915">
        <f t="shared" si="42"/>
        <v>2</v>
      </c>
      <c r="T915" s="2">
        <f t="shared" si="43"/>
        <v>0.78999999576884161</v>
      </c>
      <c r="U915" s="2">
        <f t="shared" si="44"/>
        <v>0.21000000423115836</v>
      </c>
    </row>
    <row r="916" spans="1:21" x14ac:dyDescent="0.3">
      <c r="A916">
        <v>10915</v>
      </c>
      <c r="B916" t="s">
        <v>108</v>
      </c>
      <c r="C916" t="s">
        <v>109</v>
      </c>
      <c r="D916" t="s">
        <v>20</v>
      </c>
      <c r="E916">
        <v>34</v>
      </c>
      <c r="F916" t="s">
        <v>40</v>
      </c>
      <c r="G916" t="s">
        <v>36</v>
      </c>
      <c r="H916" t="s">
        <v>37</v>
      </c>
      <c r="I916" t="s">
        <v>24</v>
      </c>
      <c r="J916">
        <v>12</v>
      </c>
      <c r="K916" s="1">
        <v>45920</v>
      </c>
      <c r="L916" s="1">
        <v>45930</v>
      </c>
      <c r="M916" t="s">
        <v>25</v>
      </c>
      <c r="N916" t="s">
        <v>26</v>
      </c>
      <c r="O916">
        <v>105886.97</v>
      </c>
      <c r="P916">
        <v>86827.32</v>
      </c>
      <c r="Q916">
        <v>19059.650000000001</v>
      </c>
      <c r="R916" t="s">
        <v>27</v>
      </c>
      <c r="S916">
        <f t="shared" si="42"/>
        <v>10</v>
      </c>
      <c r="T916" s="2">
        <f t="shared" si="43"/>
        <v>0.82000004344255017</v>
      </c>
      <c r="U916" s="2">
        <f t="shared" si="44"/>
        <v>0.17999995655744991</v>
      </c>
    </row>
    <row r="917" spans="1:21" x14ac:dyDescent="0.3">
      <c r="A917">
        <v>10916</v>
      </c>
      <c r="B917" t="s">
        <v>102</v>
      </c>
      <c r="C917" t="s">
        <v>103</v>
      </c>
      <c r="D917" t="s">
        <v>30</v>
      </c>
      <c r="E917">
        <v>59</v>
      </c>
      <c r="F917" t="s">
        <v>75</v>
      </c>
      <c r="G917" t="s">
        <v>55</v>
      </c>
      <c r="H917" t="s">
        <v>56</v>
      </c>
      <c r="I917" t="s">
        <v>49</v>
      </c>
      <c r="J917">
        <v>10</v>
      </c>
      <c r="K917" s="1">
        <v>45892</v>
      </c>
      <c r="L917" s="1">
        <v>45903</v>
      </c>
      <c r="M917" t="s">
        <v>50</v>
      </c>
      <c r="N917" t="s">
        <v>51</v>
      </c>
      <c r="O917">
        <v>226571.49</v>
      </c>
      <c r="P917">
        <v>147271.47</v>
      </c>
      <c r="Q917">
        <v>79300.02</v>
      </c>
      <c r="R917" t="s">
        <v>27</v>
      </c>
      <c r="S917">
        <f t="shared" si="42"/>
        <v>11</v>
      </c>
      <c r="T917" s="2">
        <f t="shared" si="43"/>
        <v>0.65000000662042701</v>
      </c>
      <c r="U917" s="2">
        <f t="shared" si="44"/>
        <v>0.34999999337957305</v>
      </c>
    </row>
    <row r="918" spans="1:21" x14ac:dyDescent="0.3">
      <c r="A918">
        <v>10917</v>
      </c>
      <c r="B918" t="s">
        <v>144</v>
      </c>
      <c r="C918" t="s">
        <v>145</v>
      </c>
      <c r="D918" t="s">
        <v>30</v>
      </c>
      <c r="E918">
        <v>37</v>
      </c>
      <c r="F918" t="s">
        <v>40</v>
      </c>
      <c r="G918" t="s">
        <v>88</v>
      </c>
      <c r="H918" t="s">
        <v>89</v>
      </c>
      <c r="I918" t="s">
        <v>62</v>
      </c>
      <c r="J918">
        <v>14</v>
      </c>
      <c r="K918" s="1">
        <v>45833</v>
      </c>
      <c r="L918" s="1">
        <v>45840</v>
      </c>
      <c r="M918" t="s">
        <v>63</v>
      </c>
      <c r="N918" t="s">
        <v>26</v>
      </c>
      <c r="O918">
        <v>15209.13</v>
      </c>
      <c r="P918">
        <v>9429.66</v>
      </c>
      <c r="Q918">
        <v>5779.47</v>
      </c>
      <c r="R918" t="s">
        <v>27</v>
      </c>
      <c r="S918">
        <f t="shared" si="42"/>
        <v>7</v>
      </c>
      <c r="T918" s="2">
        <f t="shared" si="43"/>
        <v>0.61999996055001172</v>
      </c>
      <c r="U918" s="2">
        <f t="shared" si="44"/>
        <v>0.38000003944998828</v>
      </c>
    </row>
    <row r="919" spans="1:21" x14ac:dyDescent="0.3">
      <c r="A919">
        <v>10918</v>
      </c>
      <c r="B919" t="s">
        <v>57</v>
      </c>
      <c r="C919" t="s">
        <v>58</v>
      </c>
      <c r="D919" t="s">
        <v>20</v>
      </c>
      <c r="E919">
        <v>45</v>
      </c>
      <c r="F919" t="s">
        <v>59</v>
      </c>
      <c r="G919" t="s">
        <v>22</v>
      </c>
      <c r="H919" t="s">
        <v>23</v>
      </c>
      <c r="I919" t="s">
        <v>24</v>
      </c>
      <c r="J919">
        <v>15</v>
      </c>
      <c r="K919" s="1">
        <v>45844</v>
      </c>
      <c r="L919" s="1">
        <v>45851</v>
      </c>
      <c r="M919" t="s">
        <v>66</v>
      </c>
      <c r="N919" t="s">
        <v>26</v>
      </c>
      <c r="O919">
        <v>66462.509999999995</v>
      </c>
      <c r="P919">
        <v>47853.01</v>
      </c>
      <c r="Q919">
        <v>18609.5</v>
      </c>
      <c r="R919" t="s">
        <v>32</v>
      </c>
      <c r="S919">
        <f t="shared" si="42"/>
        <v>7</v>
      </c>
      <c r="T919" s="2">
        <f t="shared" si="43"/>
        <v>0.72000004212901392</v>
      </c>
      <c r="U919" s="2">
        <f t="shared" si="44"/>
        <v>0.27999995787098625</v>
      </c>
    </row>
    <row r="920" spans="1:21" x14ac:dyDescent="0.3">
      <c r="A920">
        <v>10919</v>
      </c>
      <c r="B920" t="s">
        <v>156</v>
      </c>
      <c r="C920" t="s">
        <v>157</v>
      </c>
      <c r="D920" t="s">
        <v>30</v>
      </c>
      <c r="E920">
        <v>47</v>
      </c>
      <c r="F920" t="s">
        <v>40</v>
      </c>
      <c r="G920" t="s">
        <v>70</v>
      </c>
      <c r="H920" t="s">
        <v>71</v>
      </c>
      <c r="I920" t="s">
        <v>43</v>
      </c>
      <c r="J920">
        <v>11</v>
      </c>
      <c r="K920" s="1">
        <v>45748</v>
      </c>
      <c r="L920" s="1">
        <v>45751</v>
      </c>
      <c r="M920" t="s">
        <v>44</v>
      </c>
      <c r="N920" t="s">
        <v>26</v>
      </c>
      <c r="O920">
        <v>18859.04</v>
      </c>
      <c r="P920">
        <v>15275.82</v>
      </c>
      <c r="Q920">
        <v>3583.22</v>
      </c>
      <c r="R920" t="s">
        <v>32</v>
      </c>
      <c r="S920">
        <f t="shared" si="42"/>
        <v>3</v>
      </c>
      <c r="T920" s="2">
        <f t="shared" si="43"/>
        <v>0.80999987274007579</v>
      </c>
      <c r="U920" s="2">
        <f t="shared" si="44"/>
        <v>0.19000012725992413</v>
      </c>
    </row>
    <row r="921" spans="1:21" x14ac:dyDescent="0.3">
      <c r="A921">
        <v>10920</v>
      </c>
      <c r="B921" t="s">
        <v>38</v>
      </c>
      <c r="C921" t="s">
        <v>39</v>
      </c>
      <c r="D921" t="s">
        <v>30</v>
      </c>
      <c r="E921">
        <v>62</v>
      </c>
      <c r="F921" t="s">
        <v>40</v>
      </c>
      <c r="G921" t="s">
        <v>88</v>
      </c>
      <c r="H921" t="s">
        <v>89</v>
      </c>
      <c r="I921" t="s">
        <v>62</v>
      </c>
      <c r="J921">
        <v>14</v>
      </c>
      <c r="K921" s="1">
        <v>45692</v>
      </c>
      <c r="L921" s="1">
        <v>45698</v>
      </c>
      <c r="M921" t="s">
        <v>96</v>
      </c>
      <c r="N921" t="s">
        <v>26</v>
      </c>
      <c r="O921">
        <v>274499.65000000002</v>
      </c>
      <c r="P921">
        <v>227834.71</v>
      </c>
      <c r="Q921">
        <v>46664.94</v>
      </c>
      <c r="R921" t="s">
        <v>27</v>
      </c>
      <c r="S921">
        <f t="shared" si="42"/>
        <v>6</v>
      </c>
      <c r="T921" s="2">
        <f t="shared" si="43"/>
        <v>0.8300000018214958</v>
      </c>
      <c r="U921" s="2">
        <f t="shared" si="44"/>
        <v>0.16999999817850406</v>
      </c>
    </row>
    <row r="922" spans="1:21" x14ac:dyDescent="0.3">
      <c r="A922">
        <v>10921</v>
      </c>
      <c r="B922" t="s">
        <v>139</v>
      </c>
      <c r="C922" t="s">
        <v>140</v>
      </c>
      <c r="D922" t="s">
        <v>20</v>
      </c>
      <c r="E922">
        <v>21</v>
      </c>
      <c r="F922" t="s">
        <v>119</v>
      </c>
      <c r="G922" t="s">
        <v>36</v>
      </c>
      <c r="H922" t="s">
        <v>37</v>
      </c>
      <c r="I922" t="s">
        <v>24</v>
      </c>
      <c r="J922">
        <v>12</v>
      </c>
      <c r="K922" s="1">
        <v>45707</v>
      </c>
      <c r="L922" s="1">
        <v>45713</v>
      </c>
      <c r="M922" t="s">
        <v>76</v>
      </c>
      <c r="N922" t="s">
        <v>26</v>
      </c>
      <c r="O922">
        <v>348591.81</v>
      </c>
      <c r="P922">
        <v>226584.68</v>
      </c>
      <c r="Q922">
        <v>122007.13</v>
      </c>
      <c r="R922" t="s">
        <v>32</v>
      </c>
      <c r="S922">
        <f t="shared" si="42"/>
        <v>6</v>
      </c>
      <c r="T922" s="2">
        <f t="shared" si="43"/>
        <v>0.65000001004039654</v>
      </c>
      <c r="U922" s="2">
        <f t="shared" si="44"/>
        <v>0.34999998995960346</v>
      </c>
    </row>
    <row r="923" spans="1:21" x14ac:dyDescent="0.3">
      <c r="A923">
        <v>10922</v>
      </c>
      <c r="B923" t="s">
        <v>94</v>
      </c>
      <c r="C923" t="s">
        <v>95</v>
      </c>
      <c r="D923" t="s">
        <v>30</v>
      </c>
      <c r="E923">
        <v>66</v>
      </c>
      <c r="F923" t="s">
        <v>54</v>
      </c>
      <c r="G923" t="s">
        <v>88</v>
      </c>
      <c r="H923" t="s">
        <v>89</v>
      </c>
      <c r="I923" t="s">
        <v>62</v>
      </c>
      <c r="J923">
        <v>14</v>
      </c>
      <c r="K923" s="1">
        <v>45823</v>
      </c>
      <c r="L923" s="1">
        <v>45835</v>
      </c>
      <c r="M923" t="s">
        <v>77</v>
      </c>
      <c r="N923" t="s">
        <v>26</v>
      </c>
      <c r="O923">
        <v>45634.57</v>
      </c>
      <c r="P923">
        <v>33313.24</v>
      </c>
      <c r="Q923">
        <v>12321.33</v>
      </c>
      <c r="R923" t="s">
        <v>27</v>
      </c>
      <c r="S923">
        <f t="shared" si="42"/>
        <v>12</v>
      </c>
      <c r="T923" s="2">
        <f t="shared" si="43"/>
        <v>0.73000008546152617</v>
      </c>
      <c r="U923" s="2">
        <f t="shared" si="44"/>
        <v>0.26999991453847377</v>
      </c>
    </row>
    <row r="924" spans="1:21" x14ac:dyDescent="0.3">
      <c r="A924">
        <v>10923</v>
      </c>
      <c r="B924" t="s">
        <v>28</v>
      </c>
      <c r="C924" t="s">
        <v>29</v>
      </c>
      <c r="D924" t="s">
        <v>30</v>
      </c>
      <c r="E924">
        <v>60</v>
      </c>
      <c r="F924" t="s">
        <v>31</v>
      </c>
      <c r="G924" t="s">
        <v>36</v>
      </c>
      <c r="H924" t="s">
        <v>37</v>
      </c>
      <c r="I924" t="s">
        <v>24</v>
      </c>
      <c r="J924">
        <v>12</v>
      </c>
      <c r="K924" s="1">
        <v>45852</v>
      </c>
      <c r="L924" s="1">
        <v>45856</v>
      </c>
      <c r="M924" t="s">
        <v>25</v>
      </c>
      <c r="N924" t="s">
        <v>51</v>
      </c>
      <c r="O924">
        <v>81287.77</v>
      </c>
      <c r="P924">
        <v>58527.19</v>
      </c>
      <c r="Q924">
        <v>22760.58</v>
      </c>
      <c r="R924" t="s">
        <v>32</v>
      </c>
      <c r="S924">
        <f t="shared" si="42"/>
        <v>4</v>
      </c>
      <c r="T924" s="2">
        <f t="shared" si="43"/>
        <v>0.71999994587131622</v>
      </c>
      <c r="U924" s="2">
        <f t="shared" si="44"/>
        <v>0.28000005412868384</v>
      </c>
    </row>
    <row r="925" spans="1:21" x14ac:dyDescent="0.3">
      <c r="A925">
        <v>10924</v>
      </c>
      <c r="B925" t="s">
        <v>120</v>
      </c>
      <c r="C925" t="s">
        <v>74</v>
      </c>
      <c r="D925" t="s">
        <v>20</v>
      </c>
      <c r="E925">
        <v>61</v>
      </c>
      <c r="F925" t="s">
        <v>69</v>
      </c>
      <c r="G925" t="s">
        <v>88</v>
      </c>
      <c r="H925" t="s">
        <v>89</v>
      </c>
      <c r="I925" t="s">
        <v>62</v>
      </c>
      <c r="J925">
        <v>14</v>
      </c>
      <c r="K925" s="1">
        <v>45908</v>
      </c>
      <c r="L925" s="1">
        <v>45913</v>
      </c>
      <c r="M925" t="s">
        <v>77</v>
      </c>
      <c r="N925" t="s">
        <v>26</v>
      </c>
      <c r="O925">
        <v>82497.73</v>
      </c>
      <c r="P925">
        <v>67648.14</v>
      </c>
      <c r="Q925">
        <v>14849.59</v>
      </c>
      <c r="R925" t="s">
        <v>32</v>
      </c>
      <c r="S925">
        <f t="shared" si="42"/>
        <v>5</v>
      </c>
      <c r="T925" s="2">
        <f t="shared" si="43"/>
        <v>0.82000001697016389</v>
      </c>
      <c r="U925" s="2">
        <f t="shared" si="44"/>
        <v>0.17999998302983611</v>
      </c>
    </row>
    <row r="926" spans="1:21" x14ac:dyDescent="0.3">
      <c r="A926">
        <v>10925</v>
      </c>
      <c r="B926" t="s">
        <v>28</v>
      </c>
      <c r="C926" t="s">
        <v>29</v>
      </c>
      <c r="D926" t="s">
        <v>30</v>
      </c>
      <c r="E926">
        <v>60</v>
      </c>
      <c r="F926" t="s">
        <v>31</v>
      </c>
      <c r="G926" t="s">
        <v>70</v>
      </c>
      <c r="H926" t="s">
        <v>71</v>
      </c>
      <c r="I926" t="s">
        <v>43</v>
      </c>
      <c r="J926">
        <v>11</v>
      </c>
      <c r="K926" s="1">
        <v>45904</v>
      </c>
      <c r="L926" s="1">
        <v>45915</v>
      </c>
      <c r="M926" t="s">
        <v>72</v>
      </c>
      <c r="N926" t="s">
        <v>26</v>
      </c>
      <c r="O926">
        <v>17390.13</v>
      </c>
      <c r="P926">
        <v>13738.2</v>
      </c>
      <c r="Q926">
        <v>3651.93</v>
      </c>
      <c r="R926" t="s">
        <v>32</v>
      </c>
      <c r="S926">
        <f t="shared" si="42"/>
        <v>11</v>
      </c>
      <c r="T926" s="2">
        <f t="shared" si="43"/>
        <v>0.78999984473951601</v>
      </c>
      <c r="U926" s="2">
        <f t="shared" si="44"/>
        <v>0.21000015526048393</v>
      </c>
    </row>
    <row r="927" spans="1:21" x14ac:dyDescent="0.3">
      <c r="A927">
        <v>10926</v>
      </c>
      <c r="B927" t="s">
        <v>125</v>
      </c>
      <c r="C927" t="s">
        <v>126</v>
      </c>
      <c r="D927" t="s">
        <v>30</v>
      </c>
      <c r="E927">
        <v>73</v>
      </c>
      <c r="F927" t="s">
        <v>21</v>
      </c>
      <c r="G927" t="s">
        <v>55</v>
      </c>
      <c r="H927" t="s">
        <v>56</v>
      </c>
      <c r="I927" t="s">
        <v>49</v>
      </c>
      <c r="J927">
        <v>10</v>
      </c>
      <c r="K927" s="1">
        <v>45698</v>
      </c>
      <c r="L927" s="1">
        <v>45701</v>
      </c>
      <c r="M927" t="s">
        <v>50</v>
      </c>
      <c r="N927" t="s">
        <v>26</v>
      </c>
      <c r="O927">
        <v>164828.04999999999</v>
      </c>
      <c r="P927">
        <v>110434.79</v>
      </c>
      <c r="Q927">
        <v>54393.26</v>
      </c>
      <c r="R927" t="s">
        <v>32</v>
      </c>
      <c r="S927">
        <f t="shared" si="42"/>
        <v>3</v>
      </c>
      <c r="T927" s="2">
        <f t="shared" si="43"/>
        <v>0.66999997876575013</v>
      </c>
      <c r="U927" s="2">
        <f t="shared" si="44"/>
        <v>0.33000002123424993</v>
      </c>
    </row>
    <row r="928" spans="1:21" x14ac:dyDescent="0.3">
      <c r="A928">
        <v>10927</v>
      </c>
      <c r="B928" t="s">
        <v>99</v>
      </c>
      <c r="C928" t="s">
        <v>100</v>
      </c>
      <c r="D928" t="s">
        <v>30</v>
      </c>
      <c r="E928">
        <v>68</v>
      </c>
      <c r="F928" t="s">
        <v>69</v>
      </c>
      <c r="G928" t="s">
        <v>55</v>
      </c>
      <c r="H928" t="s">
        <v>56</v>
      </c>
      <c r="I928" t="s">
        <v>49</v>
      </c>
      <c r="J928">
        <v>10</v>
      </c>
      <c r="K928" s="1">
        <v>45923</v>
      </c>
      <c r="L928" s="1">
        <v>45933</v>
      </c>
      <c r="M928" t="s">
        <v>50</v>
      </c>
      <c r="N928" t="s">
        <v>51</v>
      </c>
      <c r="O928">
        <v>288442.17</v>
      </c>
      <c r="P928">
        <v>175949.72</v>
      </c>
      <c r="Q928">
        <v>112492.45</v>
      </c>
      <c r="R928" t="s">
        <v>32</v>
      </c>
      <c r="S928">
        <f t="shared" si="42"/>
        <v>10</v>
      </c>
      <c r="T928" s="2">
        <f t="shared" si="43"/>
        <v>0.60999998717247206</v>
      </c>
      <c r="U928" s="2">
        <f t="shared" si="44"/>
        <v>0.390000012827528</v>
      </c>
    </row>
    <row r="929" spans="1:21" x14ac:dyDescent="0.3">
      <c r="A929">
        <v>10928</v>
      </c>
      <c r="B929" t="s">
        <v>120</v>
      </c>
      <c r="C929" t="s">
        <v>74</v>
      </c>
      <c r="D929" t="s">
        <v>20</v>
      </c>
      <c r="E929">
        <v>61</v>
      </c>
      <c r="F929" t="s">
        <v>69</v>
      </c>
      <c r="G929" t="s">
        <v>70</v>
      </c>
      <c r="H929" t="s">
        <v>71</v>
      </c>
      <c r="I929" t="s">
        <v>43</v>
      </c>
      <c r="J929">
        <v>11</v>
      </c>
      <c r="K929" s="1">
        <v>45702</v>
      </c>
      <c r="L929" s="1">
        <v>45705</v>
      </c>
      <c r="M929" t="s">
        <v>72</v>
      </c>
      <c r="N929" t="s">
        <v>26</v>
      </c>
      <c r="O929">
        <v>17887.740000000002</v>
      </c>
      <c r="P929">
        <v>13594.68</v>
      </c>
      <c r="Q929">
        <v>4293.0600000000004</v>
      </c>
      <c r="R929" t="s">
        <v>32</v>
      </c>
      <c r="S929">
        <f t="shared" si="42"/>
        <v>3</v>
      </c>
      <c r="T929" s="2">
        <f t="shared" si="43"/>
        <v>0.75999986582989243</v>
      </c>
      <c r="U929" s="2">
        <f t="shared" si="44"/>
        <v>0.24000013417010757</v>
      </c>
    </row>
    <row r="930" spans="1:21" x14ac:dyDescent="0.3">
      <c r="A930">
        <v>10929</v>
      </c>
      <c r="B930" t="s">
        <v>82</v>
      </c>
      <c r="C930" t="s">
        <v>83</v>
      </c>
      <c r="D930" t="s">
        <v>20</v>
      </c>
      <c r="E930">
        <v>74</v>
      </c>
      <c r="F930" t="s">
        <v>84</v>
      </c>
      <c r="G930" t="s">
        <v>22</v>
      </c>
      <c r="H930" t="s">
        <v>23</v>
      </c>
      <c r="I930" t="s">
        <v>24</v>
      </c>
      <c r="J930">
        <v>15</v>
      </c>
      <c r="K930" s="1">
        <v>45919</v>
      </c>
      <c r="L930" s="1">
        <v>45928</v>
      </c>
      <c r="M930" t="s">
        <v>76</v>
      </c>
      <c r="N930" t="s">
        <v>51</v>
      </c>
      <c r="O930">
        <v>318684.58</v>
      </c>
      <c r="P930">
        <v>226266.05</v>
      </c>
      <c r="Q930">
        <v>92418.53</v>
      </c>
      <c r="R930" t="s">
        <v>32</v>
      </c>
      <c r="S930">
        <f t="shared" si="42"/>
        <v>9</v>
      </c>
      <c r="T930" s="2">
        <f t="shared" si="43"/>
        <v>0.70999999435178185</v>
      </c>
      <c r="U930" s="2">
        <f t="shared" si="44"/>
        <v>0.29000000564821804</v>
      </c>
    </row>
    <row r="931" spans="1:21" x14ac:dyDescent="0.3">
      <c r="A931">
        <v>10930</v>
      </c>
      <c r="B931" t="s">
        <v>97</v>
      </c>
      <c r="C931" t="s">
        <v>98</v>
      </c>
      <c r="D931" t="s">
        <v>20</v>
      </c>
      <c r="E931">
        <v>43</v>
      </c>
      <c r="F931" t="s">
        <v>69</v>
      </c>
      <c r="G931" t="s">
        <v>88</v>
      </c>
      <c r="H931" t="s">
        <v>89</v>
      </c>
      <c r="I931" t="s">
        <v>62</v>
      </c>
      <c r="J931">
        <v>14</v>
      </c>
      <c r="K931" s="1">
        <v>45689</v>
      </c>
      <c r="L931" s="1">
        <v>45699</v>
      </c>
      <c r="M931" t="s">
        <v>96</v>
      </c>
      <c r="N931" t="s">
        <v>26</v>
      </c>
      <c r="O931">
        <v>169456.22</v>
      </c>
      <c r="P931">
        <v>111841.11</v>
      </c>
      <c r="Q931">
        <v>57615.11</v>
      </c>
      <c r="R931" t="s">
        <v>32</v>
      </c>
      <c r="S931">
        <f t="shared" si="42"/>
        <v>10</v>
      </c>
      <c r="T931" s="2">
        <f t="shared" si="43"/>
        <v>0.66000002832590032</v>
      </c>
      <c r="U931" s="2">
        <f t="shared" si="44"/>
        <v>0.33999997167409968</v>
      </c>
    </row>
    <row r="932" spans="1:21" x14ac:dyDescent="0.3">
      <c r="A932">
        <v>10931</v>
      </c>
      <c r="B932" t="s">
        <v>28</v>
      </c>
      <c r="C932" t="s">
        <v>29</v>
      </c>
      <c r="D932" t="s">
        <v>30</v>
      </c>
      <c r="E932">
        <v>60</v>
      </c>
      <c r="F932" t="s">
        <v>31</v>
      </c>
      <c r="G932" t="s">
        <v>70</v>
      </c>
      <c r="H932" t="s">
        <v>71</v>
      </c>
      <c r="I932" t="s">
        <v>43</v>
      </c>
      <c r="J932">
        <v>11</v>
      </c>
      <c r="K932" s="1">
        <v>45850</v>
      </c>
      <c r="L932" s="1">
        <v>45863</v>
      </c>
      <c r="M932" t="s">
        <v>112</v>
      </c>
      <c r="N932" t="s">
        <v>26</v>
      </c>
      <c r="O932">
        <v>43971.17</v>
      </c>
      <c r="P932">
        <v>35616.65</v>
      </c>
      <c r="Q932">
        <v>8354.52</v>
      </c>
      <c r="R932" t="s">
        <v>32</v>
      </c>
      <c r="S932">
        <f t="shared" si="42"/>
        <v>13</v>
      </c>
      <c r="T932" s="2">
        <f t="shared" si="43"/>
        <v>0.81000005230700034</v>
      </c>
      <c r="U932" s="2">
        <f t="shared" si="44"/>
        <v>0.18999994769299977</v>
      </c>
    </row>
    <row r="933" spans="1:21" x14ac:dyDescent="0.3">
      <c r="A933">
        <v>10932</v>
      </c>
      <c r="B933" t="s">
        <v>158</v>
      </c>
      <c r="C933" t="s">
        <v>159</v>
      </c>
      <c r="D933" t="s">
        <v>30</v>
      </c>
      <c r="E933">
        <v>18</v>
      </c>
      <c r="F933" t="s">
        <v>35</v>
      </c>
      <c r="G933" t="s">
        <v>70</v>
      </c>
      <c r="H933" t="s">
        <v>71</v>
      </c>
      <c r="I933" t="s">
        <v>43</v>
      </c>
      <c r="J933">
        <v>11</v>
      </c>
      <c r="K933" s="1">
        <v>45744</v>
      </c>
      <c r="L933" s="1">
        <v>45757</v>
      </c>
      <c r="M933" t="s">
        <v>112</v>
      </c>
      <c r="N933" t="s">
        <v>26</v>
      </c>
      <c r="O933">
        <v>39978.589999999997</v>
      </c>
      <c r="P933">
        <v>27185.439999999999</v>
      </c>
      <c r="Q933">
        <v>12793.15</v>
      </c>
      <c r="R933" t="s">
        <v>32</v>
      </c>
      <c r="S933">
        <f t="shared" si="42"/>
        <v>13</v>
      </c>
      <c r="T933" s="2">
        <f t="shared" si="43"/>
        <v>0.67999996998393397</v>
      </c>
      <c r="U933" s="2">
        <f t="shared" si="44"/>
        <v>0.32000003001606614</v>
      </c>
    </row>
    <row r="934" spans="1:21" x14ac:dyDescent="0.3">
      <c r="A934">
        <v>10933</v>
      </c>
      <c r="B934" t="s">
        <v>97</v>
      </c>
      <c r="C934" t="s">
        <v>98</v>
      </c>
      <c r="D934" t="s">
        <v>20</v>
      </c>
      <c r="E934">
        <v>43</v>
      </c>
      <c r="F934" t="s">
        <v>69</v>
      </c>
      <c r="G934" t="s">
        <v>88</v>
      </c>
      <c r="H934" t="s">
        <v>89</v>
      </c>
      <c r="I934" t="s">
        <v>62</v>
      </c>
      <c r="J934">
        <v>14</v>
      </c>
      <c r="K934" s="1">
        <v>45811</v>
      </c>
      <c r="L934" s="1">
        <v>45816</v>
      </c>
      <c r="M934" t="s">
        <v>96</v>
      </c>
      <c r="N934" t="s">
        <v>51</v>
      </c>
      <c r="O934">
        <v>303010.17</v>
      </c>
      <c r="P934">
        <v>257558.64</v>
      </c>
      <c r="Q934">
        <v>45451.53</v>
      </c>
      <c r="R934" t="s">
        <v>32</v>
      </c>
      <c r="S934">
        <f t="shared" si="42"/>
        <v>5</v>
      </c>
      <c r="T934" s="2">
        <f t="shared" si="43"/>
        <v>0.84999998514901343</v>
      </c>
      <c r="U934" s="2">
        <f t="shared" si="44"/>
        <v>0.15000001485098668</v>
      </c>
    </row>
    <row r="935" spans="1:21" x14ac:dyDescent="0.3">
      <c r="A935">
        <v>10934</v>
      </c>
      <c r="B935" t="s">
        <v>86</v>
      </c>
      <c r="C935" t="s">
        <v>87</v>
      </c>
      <c r="D935" t="s">
        <v>30</v>
      </c>
      <c r="E935">
        <v>23</v>
      </c>
      <c r="F935" t="s">
        <v>31</v>
      </c>
      <c r="G935" t="s">
        <v>88</v>
      </c>
      <c r="H935" t="s">
        <v>89</v>
      </c>
      <c r="I935" t="s">
        <v>62</v>
      </c>
      <c r="J935">
        <v>14</v>
      </c>
      <c r="K935" s="1">
        <v>45925</v>
      </c>
      <c r="L935" s="1">
        <v>45938</v>
      </c>
      <c r="M935" t="s">
        <v>77</v>
      </c>
      <c r="N935" t="s">
        <v>26</v>
      </c>
      <c r="O935">
        <v>31357.18</v>
      </c>
      <c r="P935">
        <v>26653.599999999999</v>
      </c>
      <c r="Q935">
        <v>4703.58</v>
      </c>
      <c r="R935" t="s">
        <v>32</v>
      </c>
      <c r="S935">
        <f t="shared" si="42"/>
        <v>13</v>
      </c>
      <c r="T935" s="2">
        <f t="shared" si="43"/>
        <v>0.84999990432813144</v>
      </c>
      <c r="U935" s="2">
        <f t="shared" si="44"/>
        <v>0.15000009567186845</v>
      </c>
    </row>
    <row r="936" spans="1:21" x14ac:dyDescent="0.3">
      <c r="A936">
        <v>10935</v>
      </c>
      <c r="B936" t="s">
        <v>64</v>
      </c>
      <c r="C936" t="s">
        <v>65</v>
      </c>
      <c r="D936" t="s">
        <v>20</v>
      </c>
      <c r="E936">
        <v>27</v>
      </c>
      <c r="F936" t="s">
        <v>31</v>
      </c>
      <c r="G936" t="s">
        <v>88</v>
      </c>
      <c r="H936" t="s">
        <v>89</v>
      </c>
      <c r="I936" t="s">
        <v>62</v>
      </c>
      <c r="J936">
        <v>14</v>
      </c>
      <c r="K936" s="1">
        <v>45936</v>
      </c>
      <c r="L936" s="1">
        <v>45938</v>
      </c>
      <c r="M936" t="s">
        <v>96</v>
      </c>
      <c r="N936" t="s">
        <v>26</v>
      </c>
      <c r="O936">
        <v>274841.37</v>
      </c>
      <c r="P936">
        <v>197885.79</v>
      </c>
      <c r="Q936">
        <v>76955.58</v>
      </c>
      <c r="R936" t="s">
        <v>32</v>
      </c>
      <c r="S936">
        <f t="shared" si="42"/>
        <v>2</v>
      </c>
      <c r="T936" s="2">
        <f t="shared" si="43"/>
        <v>0.72000001309846484</v>
      </c>
      <c r="U936" s="2">
        <f t="shared" si="44"/>
        <v>0.27999998690153527</v>
      </c>
    </row>
    <row r="937" spans="1:21" x14ac:dyDescent="0.3">
      <c r="A937">
        <v>10936</v>
      </c>
      <c r="B937" t="s">
        <v>90</v>
      </c>
      <c r="C937" t="s">
        <v>91</v>
      </c>
      <c r="D937" t="s">
        <v>20</v>
      </c>
      <c r="E937">
        <v>48</v>
      </c>
      <c r="F937" t="s">
        <v>84</v>
      </c>
      <c r="G937" t="s">
        <v>88</v>
      </c>
      <c r="H937" t="s">
        <v>89</v>
      </c>
      <c r="I937" t="s">
        <v>62</v>
      </c>
      <c r="J937">
        <v>14</v>
      </c>
      <c r="K937" s="1">
        <v>45948</v>
      </c>
      <c r="L937" s="1">
        <v>45962</v>
      </c>
      <c r="M937" t="s">
        <v>63</v>
      </c>
      <c r="N937" t="s">
        <v>26</v>
      </c>
      <c r="O937">
        <v>33090.699999999997</v>
      </c>
      <c r="P937">
        <v>22832.58</v>
      </c>
      <c r="Q937">
        <v>10258.120000000001</v>
      </c>
      <c r="R937" t="s">
        <v>32</v>
      </c>
      <c r="S937">
        <f t="shared" si="42"/>
        <v>14</v>
      </c>
      <c r="T937" s="2">
        <f t="shared" si="43"/>
        <v>0.68999990934008659</v>
      </c>
      <c r="U937" s="2">
        <f t="shared" si="44"/>
        <v>0.31000009065991357</v>
      </c>
    </row>
    <row r="938" spans="1:21" x14ac:dyDescent="0.3">
      <c r="A938">
        <v>10937</v>
      </c>
      <c r="B938" t="s">
        <v>67</v>
      </c>
      <c r="C938" t="s">
        <v>68</v>
      </c>
      <c r="D938" t="s">
        <v>20</v>
      </c>
      <c r="E938">
        <v>33</v>
      </c>
      <c r="F938" t="s">
        <v>69</v>
      </c>
      <c r="G938" t="s">
        <v>47</v>
      </c>
      <c r="H938" t="s">
        <v>48</v>
      </c>
      <c r="I938" t="s">
        <v>49</v>
      </c>
      <c r="J938">
        <v>8</v>
      </c>
      <c r="K938" s="1">
        <v>45725</v>
      </c>
      <c r="L938" s="1">
        <v>45731</v>
      </c>
      <c r="M938" t="s">
        <v>85</v>
      </c>
      <c r="N938" t="s">
        <v>26</v>
      </c>
      <c r="O938">
        <v>125023.89</v>
      </c>
      <c r="P938">
        <v>75014.33</v>
      </c>
      <c r="Q938">
        <v>50009.56</v>
      </c>
      <c r="R938" t="s">
        <v>32</v>
      </c>
      <c r="S938">
        <f t="shared" si="42"/>
        <v>6</v>
      </c>
      <c r="T938" s="2">
        <f t="shared" si="43"/>
        <v>0.59999996800611466</v>
      </c>
      <c r="U938" s="2">
        <f t="shared" si="44"/>
        <v>0.40000003199388529</v>
      </c>
    </row>
    <row r="939" spans="1:21" x14ac:dyDescent="0.3">
      <c r="A939">
        <v>10938</v>
      </c>
      <c r="B939" t="s">
        <v>152</v>
      </c>
      <c r="C939" t="s">
        <v>153</v>
      </c>
      <c r="D939" t="s">
        <v>20</v>
      </c>
      <c r="E939">
        <v>27</v>
      </c>
      <c r="F939" t="s">
        <v>59</v>
      </c>
      <c r="G939" t="s">
        <v>88</v>
      </c>
      <c r="H939" t="s">
        <v>89</v>
      </c>
      <c r="I939" t="s">
        <v>62</v>
      </c>
      <c r="J939">
        <v>14</v>
      </c>
      <c r="K939" s="1">
        <v>45743</v>
      </c>
      <c r="L939" s="1">
        <v>45756</v>
      </c>
      <c r="M939" t="s">
        <v>77</v>
      </c>
      <c r="N939" t="s">
        <v>26</v>
      </c>
      <c r="O939">
        <v>69859.27</v>
      </c>
      <c r="P939">
        <v>43312.75</v>
      </c>
      <c r="Q939">
        <v>26546.52</v>
      </c>
      <c r="R939" t="s">
        <v>27</v>
      </c>
      <c r="S939">
        <f t="shared" si="42"/>
        <v>13</v>
      </c>
      <c r="T939" s="2">
        <f t="shared" si="43"/>
        <v>0.6200000372176806</v>
      </c>
      <c r="U939" s="2">
        <f t="shared" si="44"/>
        <v>0.37999996278231934</v>
      </c>
    </row>
    <row r="940" spans="1:21" x14ac:dyDescent="0.3">
      <c r="A940">
        <v>10939</v>
      </c>
      <c r="B940" t="s">
        <v>123</v>
      </c>
      <c r="C940" t="s">
        <v>124</v>
      </c>
      <c r="D940" t="s">
        <v>30</v>
      </c>
      <c r="E940">
        <v>65</v>
      </c>
      <c r="F940" t="s">
        <v>35</v>
      </c>
      <c r="G940" t="s">
        <v>41</v>
      </c>
      <c r="H940" t="s">
        <v>42</v>
      </c>
      <c r="I940" t="s">
        <v>43</v>
      </c>
      <c r="J940">
        <v>9</v>
      </c>
      <c r="K940" s="1">
        <v>45975</v>
      </c>
      <c r="L940" s="1">
        <v>45988</v>
      </c>
      <c r="M940" t="s">
        <v>44</v>
      </c>
      <c r="N940" t="s">
        <v>26</v>
      </c>
      <c r="O940">
        <v>18053.759999999998</v>
      </c>
      <c r="P940">
        <v>12276.56</v>
      </c>
      <c r="Q940">
        <v>5777.2</v>
      </c>
      <c r="R940" t="s">
        <v>27</v>
      </c>
      <c r="S940">
        <f t="shared" si="42"/>
        <v>13</v>
      </c>
      <c r="T940" s="2">
        <f t="shared" si="43"/>
        <v>0.6800001772483959</v>
      </c>
      <c r="U940" s="2">
        <f t="shared" si="44"/>
        <v>0.3199998227516041</v>
      </c>
    </row>
    <row r="941" spans="1:21" x14ac:dyDescent="0.3">
      <c r="A941">
        <v>10940</v>
      </c>
      <c r="B941" t="s">
        <v>86</v>
      </c>
      <c r="C941" t="s">
        <v>87</v>
      </c>
      <c r="D941" t="s">
        <v>30</v>
      </c>
      <c r="E941">
        <v>23</v>
      </c>
      <c r="F941" t="s">
        <v>31</v>
      </c>
      <c r="G941" t="s">
        <v>47</v>
      </c>
      <c r="H941" t="s">
        <v>48</v>
      </c>
      <c r="I941" t="s">
        <v>49</v>
      </c>
      <c r="J941">
        <v>8</v>
      </c>
      <c r="K941" s="1">
        <v>45937</v>
      </c>
      <c r="L941" s="1">
        <v>45951</v>
      </c>
      <c r="M941" t="s">
        <v>50</v>
      </c>
      <c r="N941" t="s">
        <v>26</v>
      </c>
      <c r="O941">
        <v>163690.84</v>
      </c>
      <c r="P941">
        <v>129315.76</v>
      </c>
      <c r="Q941">
        <v>34375.08</v>
      </c>
      <c r="R941" t="s">
        <v>27</v>
      </c>
      <c r="S941">
        <f t="shared" si="42"/>
        <v>14</v>
      </c>
      <c r="T941" s="2">
        <f t="shared" si="43"/>
        <v>0.78999997800732158</v>
      </c>
      <c r="U941" s="2">
        <f t="shared" si="44"/>
        <v>0.21000002199267842</v>
      </c>
    </row>
    <row r="942" spans="1:21" x14ac:dyDescent="0.3">
      <c r="A942">
        <v>10941</v>
      </c>
      <c r="B942" t="s">
        <v>139</v>
      </c>
      <c r="C942" t="s">
        <v>140</v>
      </c>
      <c r="D942" t="s">
        <v>20</v>
      </c>
      <c r="E942">
        <v>21</v>
      </c>
      <c r="F942" t="s">
        <v>119</v>
      </c>
      <c r="G942" t="s">
        <v>55</v>
      </c>
      <c r="H942" t="s">
        <v>56</v>
      </c>
      <c r="I942" t="s">
        <v>49</v>
      </c>
      <c r="J942">
        <v>10</v>
      </c>
      <c r="K942" s="1">
        <v>45663</v>
      </c>
      <c r="L942" s="1">
        <v>45673</v>
      </c>
      <c r="M942" t="s">
        <v>85</v>
      </c>
      <c r="N942" t="s">
        <v>51</v>
      </c>
      <c r="O942">
        <v>107827.74</v>
      </c>
      <c r="P942">
        <v>77635.97</v>
      </c>
      <c r="Q942">
        <v>30191.77</v>
      </c>
      <c r="R942" t="s">
        <v>32</v>
      </c>
      <c r="S942">
        <f t="shared" si="42"/>
        <v>10</v>
      </c>
      <c r="T942" s="2">
        <f t="shared" si="43"/>
        <v>0.71999997403265614</v>
      </c>
      <c r="U942" s="2">
        <f t="shared" si="44"/>
        <v>0.28000002596734386</v>
      </c>
    </row>
    <row r="943" spans="1:21" x14ac:dyDescent="0.3">
      <c r="A943">
        <v>10942</v>
      </c>
      <c r="B943" t="s">
        <v>28</v>
      </c>
      <c r="C943" t="s">
        <v>29</v>
      </c>
      <c r="D943" t="s">
        <v>30</v>
      </c>
      <c r="E943">
        <v>60</v>
      </c>
      <c r="F943" t="s">
        <v>31</v>
      </c>
      <c r="G943" t="s">
        <v>55</v>
      </c>
      <c r="H943" t="s">
        <v>56</v>
      </c>
      <c r="I943" t="s">
        <v>49</v>
      </c>
      <c r="J943">
        <v>10</v>
      </c>
      <c r="K943" s="1">
        <v>45739</v>
      </c>
      <c r="L943" s="1">
        <v>45750</v>
      </c>
      <c r="M943" t="s">
        <v>50</v>
      </c>
      <c r="N943" t="s">
        <v>51</v>
      </c>
      <c r="O943">
        <v>363846.03</v>
      </c>
      <c r="P943">
        <v>240138.38</v>
      </c>
      <c r="Q943">
        <v>123707.65</v>
      </c>
      <c r="R943" t="s">
        <v>32</v>
      </c>
      <c r="S943">
        <f t="shared" si="42"/>
        <v>11</v>
      </c>
      <c r="T943" s="2">
        <f t="shared" si="43"/>
        <v>0.660000000549683</v>
      </c>
      <c r="U943" s="2">
        <f t="shared" si="44"/>
        <v>0.33999999945031689</v>
      </c>
    </row>
    <row r="944" spans="1:21" x14ac:dyDescent="0.3">
      <c r="A944">
        <v>10943</v>
      </c>
      <c r="B944" t="s">
        <v>28</v>
      </c>
      <c r="C944" t="s">
        <v>29</v>
      </c>
      <c r="D944" t="s">
        <v>30</v>
      </c>
      <c r="E944">
        <v>60</v>
      </c>
      <c r="F944" t="s">
        <v>31</v>
      </c>
      <c r="G944" t="s">
        <v>36</v>
      </c>
      <c r="H944" t="s">
        <v>37</v>
      </c>
      <c r="I944" t="s">
        <v>24</v>
      </c>
      <c r="J944">
        <v>12</v>
      </c>
      <c r="K944" s="1">
        <v>45765</v>
      </c>
      <c r="L944" s="1">
        <v>45778</v>
      </c>
      <c r="M944" t="s">
        <v>25</v>
      </c>
      <c r="N944" t="s">
        <v>26</v>
      </c>
      <c r="O944">
        <v>113291.12</v>
      </c>
      <c r="P944">
        <v>86101.25</v>
      </c>
      <c r="Q944">
        <v>27189.87</v>
      </c>
      <c r="R944" t="s">
        <v>32</v>
      </c>
      <c r="S944">
        <f t="shared" si="42"/>
        <v>13</v>
      </c>
      <c r="T944" s="2">
        <f t="shared" si="43"/>
        <v>0.75999998940781943</v>
      </c>
      <c r="U944" s="2">
        <f t="shared" si="44"/>
        <v>0.24000001059218057</v>
      </c>
    </row>
    <row r="945" spans="1:21" x14ac:dyDescent="0.3">
      <c r="A945">
        <v>10944</v>
      </c>
      <c r="B945" t="s">
        <v>117</v>
      </c>
      <c r="C945" t="s">
        <v>118</v>
      </c>
      <c r="D945" t="s">
        <v>20</v>
      </c>
      <c r="E945">
        <v>65</v>
      </c>
      <c r="F945" t="s">
        <v>119</v>
      </c>
      <c r="G945" t="s">
        <v>88</v>
      </c>
      <c r="H945" t="s">
        <v>89</v>
      </c>
      <c r="I945" t="s">
        <v>62</v>
      </c>
      <c r="J945">
        <v>14</v>
      </c>
      <c r="K945" s="1">
        <v>45965</v>
      </c>
      <c r="L945" s="1">
        <v>45976</v>
      </c>
      <c r="M945" t="s">
        <v>77</v>
      </c>
      <c r="N945" t="s">
        <v>51</v>
      </c>
      <c r="O945">
        <v>38731.519999999997</v>
      </c>
      <c r="P945">
        <v>29048.639999999999</v>
      </c>
      <c r="Q945">
        <v>9682.8799999999992</v>
      </c>
      <c r="R945" t="s">
        <v>32</v>
      </c>
      <c r="S945">
        <f t="shared" si="42"/>
        <v>11</v>
      </c>
      <c r="T945" s="2">
        <f t="shared" si="43"/>
        <v>0.75</v>
      </c>
      <c r="U945" s="2">
        <f t="shared" si="44"/>
        <v>0.25</v>
      </c>
    </row>
    <row r="946" spans="1:21" x14ac:dyDescent="0.3">
      <c r="A946">
        <v>10945</v>
      </c>
      <c r="B946" t="s">
        <v>28</v>
      </c>
      <c r="C946" t="s">
        <v>29</v>
      </c>
      <c r="D946" t="s">
        <v>30</v>
      </c>
      <c r="E946">
        <v>60</v>
      </c>
      <c r="F946" t="s">
        <v>31</v>
      </c>
      <c r="G946" t="s">
        <v>60</v>
      </c>
      <c r="H946" t="s">
        <v>61</v>
      </c>
      <c r="I946" t="s">
        <v>62</v>
      </c>
      <c r="J946">
        <v>18</v>
      </c>
      <c r="K946" s="1">
        <v>45721</v>
      </c>
      <c r="L946" s="1">
        <v>45724</v>
      </c>
      <c r="M946" t="s">
        <v>63</v>
      </c>
      <c r="N946" t="s">
        <v>26</v>
      </c>
      <c r="O946">
        <v>41367.019999999997</v>
      </c>
      <c r="P946">
        <v>26061.22</v>
      </c>
      <c r="Q946">
        <v>15305.8</v>
      </c>
      <c r="R946" t="s">
        <v>32</v>
      </c>
      <c r="S946">
        <f t="shared" si="42"/>
        <v>3</v>
      </c>
      <c r="T946" s="2">
        <f t="shared" si="43"/>
        <v>0.62999993714799862</v>
      </c>
      <c r="U946" s="2">
        <f t="shared" si="44"/>
        <v>0.37000006285200143</v>
      </c>
    </row>
    <row r="947" spans="1:21" x14ac:dyDescent="0.3">
      <c r="A947">
        <v>10946</v>
      </c>
      <c r="B947" t="s">
        <v>99</v>
      </c>
      <c r="C947" t="s">
        <v>100</v>
      </c>
      <c r="D947" t="s">
        <v>30</v>
      </c>
      <c r="E947">
        <v>68</v>
      </c>
      <c r="F947" t="s">
        <v>69</v>
      </c>
      <c r="G947" t="s">
        <v>55</v>
      </c>
      <c r="H947" t="s">
        <v>56</v>
      </c>
      <c r="I947" t="s">
        <v>49</v>
      </c>
      <c r="J947">
        <v>10</v>
      </c>
      <c r="K947" s="1">
        <v>45942</v>
      </c>
      <c r="L947" s="1">
        <v>45947</v>
      </c>
      <c r="M947" t="s">
        <v>85</v>
      </c>
      <c r="N947" t="s">
        <v>26</v>
      </c>
      <c r="O947">
        <v>82106.850000000006</v>
      </c>
      <c r="P947">
        <v>67327.62</v>
      </c>
      <c r="Q947">
        <v>14779.23</v>
      </c>
      <c r="R947" t="s">
        <v>32</v>
      </c>
      <c r="S947">
        <f t="shared" si="42"/>
        <v>5</v>
      </c>
      <c r="T947" s="2">
        <f t="shared" si="43"/>
        <v>0.82000003653775522</v>
      </c>
      <c r="U947" s="2">
        <f t="shared" si="44"/>
        <v>0.17999996346224462</v>
      </c>
    </row>
    <row r="948" spans="1:21" x14ac:dyDescent="0.3">
      <c r="A948">
        <v>10947</v>
      </c>
      <c r="B948" t="s">
        <v>152</v>
      </c>
      <c r="C948" t="s">
        <v>153</v>
      </c>
      <c r="D948" t="s">
        <v>20</v>
      </c>
      <c r="E948">
        <v>27</v>
      </c>
      <c r="F948" t="s">
        <v>59</v>
      </c>
      <c r="G948" t="s">
        <v>41</v>
      </c>
      <c r="H948" t="s">
        <v>42</v>
      </c>
      <c r="I948" t="s">
        <v>43</v>
      </c>
      <c r="J948">
        <v>9</v>
      </c>
      <c r="K948" s="1">
        <v>45916</v>
      </c>
      <c r="L948" s="1">
        <v>45929</v>
      </c>
      <c r="M948" t="s">
        <v>44</v>
      </c>
      <c r="N948" t="s">
        <v>26</v>
      </c>
      <c r="O948">
        <v>28829.75</v>
      </c>
      <c r="P948">
        <v>23928.69</v>
      </c>
      <c r="Q948">
        <v>4901.0600000000004</v>
      </c>
      <c r="R948" t="s">
        <v>32</v>
      </c>
      <c r="S948">
        <f t="shared" si="42"/>
        <v>13</v>
      </c>
      <c r="T948" s="2">
        <f t="shared" si="43"/>
        <v>0.82999991328402078</v>
      </c>
      <c r="U948" s="2">
        <f t="shared" si="44"/>
        <v>0.17000008671597916</v>
      </c>
    </row>
    <row r="949" spans="1:21" x14ac:dyDescent="0.3">
      <c r="A949">
        <v>10948</v>
      </c>
      <c r="B949" t="s">
        <v>156</v>
      </c>
      <c r="C949" t="s">
        <v>157</v>
      </c>
      <c r="D949" t="s">
        <v>30</v>
      </c>
      <c r="E949">
        <v>47</v>
      </c>
      <c r="F949" t="s">
        <v>40</v>
      </c>
      <c r="G949" t="s">
        <v>60</v>
      </c>
      <c r="H949" t="s">
        <v>61</v>
      </c>
      <c r="I949" t="s">
        <v>62</v>
      </c>
      <c r="J949">
        <v>18</v>
      </c>
      <c r="K949" s="1">
        <v>45726</v>
      </c>
      <c r="L949" s="1">
        <v>45729</v>
      </c>
      <c r="M949" t="s">
        <v>63</v>
      </c>
      <c r="N949" t="s">
        <v>26</v>
      </c>
      <c r="O949">
        <v>23326.400000000001</v>
      </c>
      <c r="P949">
        <v>16561.740000000002</v>
      </c>
      <c r="Q949">
        <v>6764.66</v>
      </c>
      <c r="R949" t="s">
        <v>32</v>
      </c>
      <c r="S949">
        <f t="shared" si="42"/>
        <v>3</v>
      </c>
      <c r="T949" s="2">
        <f t="shared" si="43"/>
        <v>0.70999982852047472</v>
      </c>
      <c r="U949" s="2">
        <f t="shared" si="44"/>
        <v>0.29000017147952534</v>
      </c>
    </row>
    <row r="950" spans="1:21" x14ac:dyDescent="0.3">
      <c r="A950">
        <v>10949</v>
      </c>
      <c r="B950" t="s">
        <v>110</v>
      </c>
      <c r="C950" t="s">
        <v>111</v>
      </c>
      <c r="D950" t="s">
        <v>20</v>
      </c>
      <c r="E950">
        <v>44</v>
      </c>
      <c r="F950" t="s">
        <v>35</v>
      </c>
      <c r="G950" t="s">
        <v>36</v>
      </c>
      <c r="H950" t="s">
        <v>37</v>
      </c>
      <c r="I950" t="s">
        <v>24</v>
      </c>
      <c r="J950">
        <v>12</v>
      </c>
      <c r="K950" s="1">
        <v>45889</v>
      </c>
      <c r="L950" s="1">
        <v>45892</v>
      </c>
      <c r="M950" t="s">
        <v>25</v>
      </c>
      <c r="N950" t="s">
        <v>51</v>
      </c>
      <c r="O950">
        <v>171151.64</v>
      </c>
      <c r="P950">
        <v>124940.7</v>
      </c>
      <c r="Q950">
        <v>46210.94</v>
      </c>
      <c r="R950" t="s">
        <v>32</v>
      </c>
      <c r="S950">
        <f t="shared" si="42"/>
        <v>3</v>
      </c>
      <c r="T950" s="2">
        <f t="shared" si="43"/>
        <v>0.73000001635976131</v>
      </c>
      <c r="U950" s="2">
        <f t="shared" si="44"/>
        <v>0.26999998364023853</v>
      </c>
    </row>
    <row r="951" spans="1:21" x14ac:dyDescent="0.3">
      <c r="A951">
        <v>10950</v>
      </c>
      <c r="B951" t="s">
        <v>33</v>
      </c>
      <c r="C951" t="s">
        <v>34</v>
      </c>
      <c r="D951" t="s">
        <v>20</v>
      </c>
      <c r="E951">
        <v>26</v>
      </c>
      <c r="F951" t="s">
        <v>35</v>
      </c>
      <c r="G951" t="s">
        <v>41</v>
      </c>
      <c r="H951" t="s">
        <v>42</v>
      </c>
      <c r="I951" t="s">
        <v>43</v>
      </c>
      <c r="J951">
        <v>9</v>
      </c>
      <c r="K951" s="1">
        <v>45851</v>
      </c>
      <c r="L951" s="1">
        <v>45860</v>
      </c>
      <c r="M951" t="s">
        <v>112</v>
      </c>
      <c r="N951" t="s">
        <v>51</v>
      </c>
      <c r="O951">
        <v>26047.57</v>
      </c>
      <c r="P951">
        <v>21879.96</v>
      </c>
      <c r="Q951">
        <v>4167.6099999999997</v>
      </c>
      <c r="R951" t="s">
        <v>27</v>
      </c>
      <c r="S951">
        <f t="shared" si="42"/>
        <v>9</v>
      </c>
      <c r="T951" s="2">
        <f t="shared" si="43"/>
        <v>0.84000004606955658</v>
      </c>
      <c r="U951" s="2">
        <f t="shared" si="44"/>
        <v>0.15999995393044342</v>
      </c>
    </row>
    <row r="952" spans="1:21" x14ac:dyDescent="0.3">
      <c r="A952">
        <v>10951</v>
      </c>
      <c r="B952" t="s">
        <v>108</v>
      </c>
      <c r="C952" t="s">
        <v>109</v>
      </c>
      <c r="D952" t="s">
        <v>20</v>
      </c>
      <c r="E952">
        <v>34</v>
      </c>
      <c r="F952" t="s">
        <v>40</v>
      </c>
      <c r="G952" t="s">
        <v>47</v>
      </c>
      <c r="H952" t="s">
        <v>48</v>
      </c>
      <c r="I952" t="s">
        <v>49</v>
      </c>
      <c r="J952">
        <v>8</v>
      </c>
      <c r="K952" s="1">
        <v>45918</v>
      </c>
      <c r="L952" s="1">
        <v>45928</v>
      </c>
      <c r="M952" t="s">
        <v>85</v>
      </c>
      <c r="N952" t="s">
        <v>26</v>
      </c>
      <c r="O952">
        <v>113054.37</v>
      </c>
      <c r="P952">
        <v>72354.8</v>
      </c>
      <c r="Q952">
        <v>40699.57</v>
      </c>
      <c r="R952" t="s">
        <v>27</v>
      </c>
      <c r="S952">
        <f t="shared" si="42"/>
        <v>10</v>
      </c>
      <c r="T952" s="2">
        <f t="shared" si="43"/>
        <v>0.64000002830496516</v>
      </c>
      <c r="U952" s="2">
        <f t="shared" si="44"/>
        <v>0.35999997169503489</v>
      </c>
    </row>
    <row r="953" spans="1:21" x14ac:dyDescent="0.3">
      <c r="A953">
        <v>10952</v>
      </c>
      <c r="B953" t="s">
        <v>97</v>
      </c>
      <c r="C953" t="s">
        <v>98</v>
      </c>
      <c r="D953" t="s">
        <v>20</v>
      </c>
      <c r="E953">
        <v>43</v>
      </c>
      <c r="F953" t="s">
        <v>69</v>
      </c>
      <c r="G953" t="s">
        <v>55</v>
      </c>
      <c r="H953" t="s">
        <v>56</v>
      </c>
      <c r="I953" t="s">
        <v>49</v>
      </c>
      <c r="J953">
        <v>10</v>
      </c>
      <c r="K953" s="1">
        <v>45876</v>
      </c>
      <c r="L953" s="1">
        <v>45888</v>
      </c>
      <c r="M953" t="s">
        <v>101</v>
      </c>
      <c r="N953" t="s">
        <v>26</v>
      </c>
      <c r="O953">
        <v>38097.019999999997</v>
      </c>
      <c r="P953">
        <v>30477.62</v>
      </c>
      <c r="Q953">
        <v>7619.4</v>
      </c>
      <c r="R953" t="s">
        <v>32</v>
      </c>
      <c r="S953">
        <f t="shared" si="42"/>
        <v>12</v>
      </c>
      <c r="T953" s="2">
        <f t="shared" si="43"/>
        <v>0.80000010499508889</v>
      </c>
      <c r="U953" s="2">
        <f t="shared" si="44"/>
        <v>0.19999989500491117</v>
      </c>
    </row>
    <row r="954" spans="1:21" x14ac:dyDescent="0.3">
      <c r="A954">
        <v>10953</v>
      </c>
      <c r="B954" t="s">
        <v>108</v>
      </c>
      <c r="C954" t="s">
        <v>109</v>
      </c>
      <c r="D954" t="s">
        <v>20</v>
      </c>
      <c r="E954">
        <v>34</v>
      </c>
      <c r="F954" t="s">
        <v>40</v>
      </c>
      <c r="G954" t="s">
        <v>55</v>
      </c>
      <c r="H954" t="s">
        <v>56</v>
      </c>
      <c r="I954" t="s">
        <v>49</v>
      </c>
      <c r="J954">
        <v>10</v>
      </c>
      <c r="K954" s="1">
        <v>46005</v>
      </c>
      <c r="L954" s="1">
        <v>46008</v>
      </c>
      <c r="M954" t="s">
        <v>85</v>
      </c>
      <c r="N954" t="s">
        <v>26</v>
      </c>
      <c r="O954">
        <v>69779.100000000006</v>
      </c>
      <c r="P954">
        <v>45356.42</v>
      </c>
      <c r="Q954">
        <v>24422.68</v>
      </c>
      <c r="R954" t="s">
        <v>27</v>
      </c>
      <c r="S954">
        <f t="shared" si="42"/>
        <v>3</v>
      </c>
      <c r="T954" s="2">
        <f t="shared" si="43"/>
        <v>0.65000007165469309</v>
      </c>
      <c r="U954" s="2">
        <f t="shared" si="44"/>
        <v>0.3499999283453068</v>
      </c>
    </row>
    <row r="955" spans="1:21" x14ac:dyDescent="0.3">
      <c r="A955">
        <v>10954</v>
      </c>
      <c r="B955" t="s">
        <v>57</v>
      </c>
      <c r="C955" t="s">
        <v>58</v>
      </c>
      <c r="D955" t="s">
        <v>20</v>
      </c>
      <c r="E955">
        <v>45</v>
      </c>
      <c r="F955" t="s">
        <v>59</v>
      </c>
      <c r="G955" t="s">
        <v>70</v>
      </c>
      <c r="H955" t="s">
        <v>71</v>
      </c>
      <c r="I955" t="s">
        <v>43</v>
      </c>
      <c r="J955">
        <v>11</v>
      </c>
      <c r="K955" s="1">
        <v>45915</v>
      </c>
      <c r="L955" s="1">
        <v>45918</v>
      </c>
      <c r="M955" t="s">
        <v>72</v>
      </c>
      <c r="N955" t="s">
        <v>51</v>
      </c>
      <c r="O955">
        <v>13326.93</v>
      </c>
      <c r="P955">
        <v>10928.08</v>
      </c>
      <c r="Q955">
        <v>2398.85</v>
      </c>
      <c r="R955" t="s">
        <v>32</v>
      </c>
      <c r="S955">
        <f t="shared" si="42"/>
        <v>3</v>
      </c>
      <c r="T955" s="2">
        <f t="shared" si="43"/>
        <v>0.8199998049063062</v>
      </c>
      <c r="U955" s="2">
        <f t="shared" si="44"/>
        <v>0.18000019509369375</v>
      </c>
    </row>
    <row r="956" spans="1:21" x14ac:dyDescent="0.3">
      <c r="A956">
        <v>10955</v>
      </c>
      <c r="B956" t="s">
        <v>135</v>
      </c>
      <c r="C956" t="s">
        <v>136</v>
      </c>
      <c r="D956" t="s">
        <v>30</v>
      </c>
      <c r="E956">
        <v>52</v>
      </c>
      <c r="F956" t="s">
        <v>35</v>
      </c>
      <c r="G956" t="s">
        <v>41</v>
      </c>
      <c r="H956" t="s">
        <v>42</v>
      </c>
      <c r="I956" t="s">
        <v>43</v>
      </c>
      <c r="J956">
        <v>9</v>
      </c>
      <c r="K956" s="1">
        <v>45833</v>
      </c>
      <c r="L956" s="1">
        <v>45841</v>
      </c>
      <c r="M956" t="s">
        <v>44</v>
      </c>
      <c r="N956" t="s">
        <v>51</v>
      </c>
      <c r="O956">
        <v>33301.480000000003</v>
      </c>
      <c r="P956">
        <v>23977.07</v>
      </c>
      <c r="Q956">
        <v>9324.41</v>
      </c>
      <c r="R956" t="s">
        <v>32</v>
      </c>
      <c r="S956">
        <f t="shared" si="42"/>
        <v>8</v>
      </c>
      <c r="T956" s="2">
        <f t="shared" si="43"/>
        <v>0.7200001321262598</v>
      </c>
      <c r="U956" s="2">
        <f t="shared" si="44"/>
        <v>0.27999986787374009</v>
      </c>
    </row>
    <row r="957" spans="1:21" x14ac:dyDescent="0.3">
      <c r="A957">
        <v>10956</v>
      </c>
      <c r="B957" t="s">
        <v>158</v>
      </c>
      <c r="C957" t="s">
        <v>159</v>
      </c>
      <c r="D957" t="s">
        <v>30</v>
      </c>
      <c r="E957">
        <v>18</v>
      </c>
      <c r="F957" t="s">
        <v>35</v>
      </c>
      <c r="G957" t="s">
        <v>47</v>
      </c>
      <c r="H957" t="s">
        <v>48</v>
      </c>
      <c r="I957" t="s">
        <v>49</v>
      </c>
      <c r="J957">
        <v>8</v>
      </c>
      <c r="K957" s="1">
        <v>45858</v>
      </c>
      <c r="L957" s="1">
        <v>45864</v>
      </c>
      <c r="M957" t="s">
        <v>50</v>
      </c>
      <c r="N957" t="s">
        <v>26</v>
      </c>
      <c r="O957">
        <v>363916.73</v>
      </c>
      <c r="P957">
        <v>283855.05</v>
      </c>
      <c r="Q957">
        <v>80061.679999999993</v>
      </c>
      <c r="R957" t="s">
        <v>32</v>
      </c>
      <c r="S957">
        <f t="shared" si="42"/>
        <v>6</v>
      </c>
      <c r="T957" s="2">
        <f t="shared" si="43"/>
        <v>0.78000000164872885</v>
      </c>
      <c r="U957" s="2">
        <f t="shared" si="44"/>
        <v>0.21999999835127118</v>
      </c>
    </row>
    <row r="958" spans="1:21" x14ac:dyDescent="0.3">
      <c r="A958">
        <v>10957</v>
      </c>
      <c r="B958" t="s">
        <v>156</v>
      </c>
      <c r="C958" t="s">
        <v>157</v>
      </c>
      <c r="D958" t="s">
        <v>30</v>
      </c>
      <c r="E958">
        <v>47</v>
      </c>
      <c r="F958" t="s">
        <v>40</v>
      </c>
      <c r="G958" t="s">
        <v>88</v>
      </c>
      <c r="H958" t="s">
        <v>89</v>
      </c>
      <c r="I958" t="s">
        <v>62</v>
      </c>
      <c r="J958">
        <v>14</v>
      </c>
      <c r="K958" s="1">
        <v>45967</v>
      </c>
      <c r="L958" s="1">
        <v>45971</v>
      </c>
      <c r="M958" t="s">
        <v>63</v>
      </c>
      <c r="N958" t="s">
        <v>26</v>
      </c>
      <c r="O958">
        <v>44633.38</v>
      </c>
      <c r="P958">
        <v>36153.040000000001</v>
      </c>
      <c r="Q958">
        <v>8480.34</v>
      </c>
      <c r="R958" t="s">
        <v>27</v>
      </c>
      <c r="S958">
        <f t="shared" si="42"/>
        <v>4</v>
      </c>
      <c r="T958" s="2">
        <f t="shared" si="43"/>
        <v>0.81000004929046387</v>
      </c>
      <c r="U958" s="2">
        <f t="shared" si="44"/>
        <v>0.18999995070953624</v>
      </c>
    </row>
    <row r="959" spans="1:21" x14ac:dyDescent="0.3">
      <c r="A959">
        <v>10958</v>
      </c>
      <c r="B959" t="s">
        <v>160</v>
      </c>
      <c r="C959" t="s">
        <v>161</v>
      </c>
      <c r="D959" t="s">
        <v>20</v>
      </c>
      <c r="E959">
        <v>18</v>
      </c>
      <c r="F959" t="s">
        <v>54</v>
      </c>
      <c r="G959" t="s">
        <v>47</v>
      </c>
      <c r="H959" t="s">
        <v>48</v>
      </c>
      <c r="I959" t="s">
        <v>49</v>
      </c>
      <c r="J959">
        <v>8</v>
      </c>
      <c r="K959" s="1">
        <v>45997</v>
      </c>
      <c r="L959" s="1">
        <v>46009</v>
      </c>
      <c r="M959" t="s">
        <v>101</v>
      </c>
      <c r="N959" t="s">
        <v>51</v>
      </c>
      <c r="O959">
        <v>32983.1</v>
      </c>
      <c r="P959">
        <v>21109.18</v>
      </c>
      <c r="Q959">
        <v>11873.92</v>
      </c>
      <c r="R959" t="s">
        <v>32</v>
      </c>
      <c r="S959">
        <f t="shared" si="42"/>
        <v>12</v>
      </c>
      <c r="T959" s="2">
        <f t="shared" si="43"/>
        <v>0.63999987872577169</v>
      </c>
      <c r="U959" s="2">
        <f t="shared" si="44"/>
        <v>0.36000012127422831</v>
      </c>
    </row>
    <row r="960" spans="1:21" x14ac:dyDescent="0.3">
      <c r="A960">
        <v>10959</v>
      </c>
      <c r="B960" t="s">
        <v>33</v>
      </c>
      <c r="C960" t="s">
        <v>34</v>
      </c>
      <c r="D960" t="s">
        <v>20</v>
      </c>
      <c r="E960">
        <v>26</v>
      </c>
      <c r="F960" t="s">
        <v>35</v>
      </c>
      <c r="G960" t="s">
        <v>22</v>
      </c>
      <c r="H960" t="s">
        <v>23</v>
      </c>
      <c r="I960" t="s">
        <v>24</v>
      </c>
      <c r="J960">
        <v>15</v>
      </c>
      <c r="K960" s="1">
        <v>45883</v>
      </c>
      <c r="L960" s="1">
        <v>45894</v>
      </c>
      <c r="M960" t="s">
        <v>25</v>
      </c>
      <c r="N960" t="s">
        <v>26</v>
      </c>
      <c r="O960">
        <v>161455.10999999999</v>
      </c>
      <c r="P960">
        <v>127549.54</v>
      </c>
      <c r="Q960">
        <v>33905.57</v>
      </c>
      <c r="R960" t="s">
        <v>32</v>
      </c>
      <c r="S960">
        <f t="shared" si="42"/>
        <v>11</v>
      </c>
      <c r="T960" s="2">
        <f t="shared" si="43"/>
        <v>0.79000001920038332</v>
      </c>
      <c r="U960" s="2">
        <f t="shared" si="44"/>
        <v>0.20999998079961671</v>
      </c>
    </row>
    <row r="961" spans="1:21" x14ac:dyDescent="0.3">
      <c r="A961">
        <v>10960</v>
      </c>
      <c r="B961" t="s">
        <v>156</v>
      </c>
      <c r="C961" t="s">
        <v>157</v>
      </c>
      <c r="D961" t="s">
        <v>30</v>
      </c>
      <c r="E961">
        <v>47</v>
      </c>
      <c r="F961" t="s">
        <v>40</v>
      </c>
      <c r="G961" t="s">
        <v>22</v>
      </c>
      <c r="H961" t="s">
        <v>23</v>
      </c>
      <c r="I961" t="s">
        <v>24</v>
      </c>
      <c r="J961">
        <v>15</v>
      </c>
      <c r="K961" s="1">
        <v>45679</v>
      </c>
      <c r="L961" s="1">
        <v>45682</v>
      </c>
      <c r="M961" t="s">
        <v>76</v>
      </c>
      <c r="N961" t="s">
        <v>26</v>
      </c>
      <c r="O961">
        <v>420786.42</v>
      </c>
      <c r="P961">
        <v>290342.63</v>
      </c>
      <c r="Q961">
        <v>130443.79</v>
      </c>
      <c r="R961" t="s">
        <v>32</v>
      </c>
      <c r="S961">
        <f t="shared" si="42"/>
        <v>3</v>
      </c>
      <c r="T961" s="2">
        <f t="shared" si="43"/>
        <v>0.69000000047530052</v>
      </c>
      <c r="U961" s="2">
        <f t="shared" si="44"/>
        <v>0.30999999952469948</v>
      </c>
    </row>
    <row r="962" spans="1:21" x14ac:dyDescent="0.3">
      <c r="A962">
        <v>10961</v>
      </c>
      <c r="B962" t="s">
        <v>104</v>
      </c>
      <c r="C962" t="s">
        <v>105</v>
      </c>
      <c r="D962" t="s">
        <v>30</v>
      </c>
      <c r="E962">
        <v>68</v>
      </c>
      <c r="F962" t="s">
        <v>21</v>
      </c>
      <c r="G962" t="s">
        <v>41</v>
      </c>
      <c r="H962" t="s">
        <v>42</v>
      </c>
      <c r="I962" t="s">
        <v>43</v>
      </c>
      <c r="J962">
        <v>9</v>
      </c>
      <c r="K962" s="1">
        <v>45774</v>
      </c>
      <c r="L962" s="1">
        <v>45777</v>
      </c>
      <c r="M962" t="s">
        <v>44</v>
      </c>
      <c r="N962" t="s">
        <v>51</v>
      </c>
      <c r="O962">
        <v>22475.48</v>
      </c>
      <c r="P962">
        <v>15283.33</v>
      </c>
      <c r="Q962">
        <v>7192.15</v>
      </c>
      <c r="R962" t="s">
        <v>32</v>
      </c>
      <c r="S962">
        <f t="shared" si="42"/>
        <v>3</v>
      </c>
      <c r="T962" s="2">
        <f t="shared" si="43"/>
        <v>0.68000016017455467</v>
      </c>
      <c r="U962" s="2">
        <f t="shared" si="44"/>
        <v>0.31999983982544533</v>
      </c>
    </row>
    <row r="963" spans="1:21" x14ac:dyDescent="0.3">
      <c r="A963">
        <v>10962</v>
      </c>
      <c r="B963" t="s">
        <v>113</v>
      </c>
      <c r="C963" t="s">
        <v>114</v>
      </c>
      <c r="D963" t="s">
        <v>30</v>
      </c>
      <c r="E963">
        <v>33</v>
      </c>
      <c r="F963" t="s">
        <v>59</v>
      </c>
      <c r="G963" t="s">
        <v>70</v>
      </c>
      <c r="H963" t="s">
        <v>71</v>
      </c>
      <c r="I963" t="s">
        <v>43</v>
      </c>
      <c r="J963">
        <v>11</v>
      </c>
      <c r="K963" s="1">
        <v>45815</v>
      </c>
      <c r="L963" s="1">
        <v>45826</v>
      </c>
      <c r="M963" t="s">
        <v>112</v>
      </c>
      <c r="N963" t="s">
        <v>26</v>
      </c>
      <c r="O963">
        <v>41595.22</v>
      </c>
      <c r="P963">
        <v>25789.040000000001</v>
      </c>
      <c r="Q963">
        <v>15806.18</v>
      </c>
      <c r="R963" t="s">
        <v>27</v>
      </c>
      <c r="S963">
        <f t="shared" ref="S963:S1001" si="45">L963-K963</f>
        <v>11</v>
      </c>
      <c r="T963" s="2">
        <f t="shared" ref="T963:T1001" si="46">P963/O963</f>
        <v>0.62000008654840633</v>
      </c>
      <c r="U963" s="2">
        <f t="shared" ref="U963:U1001" si="47">Q963/O963</f>
        <v>0.37999991345159373</v>
      </c>
    </row>
    <row r="964" spans="1:21" x14ac:dyDescent="0.3">
      <c r="A964">
        <v>10963</v>
      </c>
      <c r="B964" t="s">
        <v>162</v>
      </c>
      <c r="C964" t="s">
        <v>91</v>
      </c>
      <c r="D964" t="s">
        <v>30</v>
      </c>
      <c r="E964">
        <v>39</v>
      </c>
      <c r="F964" t="s">
        <v>119</v>
      </c>
      <c r="G964" t="s">
        <v>47</v>
      </c>
      <c r="H964" t="s">
        <v>48</v>
      </c>
      <c r="I964" t="s">
        <v>49</v>
      </c>
      <c r="J964">
        <v>8</v>
      </c>
      <c r="K964" s="1">
        <v>45861</v>
      </c>
      <c r="L964" s="1">
        <v>45875</v>
      </c>
      <c r="M964" t="s">
        <v>101</v>
      </c>
      <c r="N964" t="s">
        <v>26</v>
      </c>
      <c r="O964">
        <v>40206.6</v>
      </c>
      <c r="P964">
        <v>32567.35</v>
      </c>
      <c r="Q964">
        <v>7639.25</v>
      </c>
      <c r="R964" t="s">
        <v>32</v>
      </c>
      <c r="S964">
        <f t="shared" si="45"/>
        <v>14</v>
      </c>
      <c r="T964" s="2">
        <f t="shared" si="46"/>
        <v>0.81000009948615403</v>
      </c>
      <c r="U964" s="2">
        <f t="shared" si="47"/>
        <v>0.18999990051384599</v>
      </c>
    </row>
    <row r="965" spans="1:21" x14ac:dyDescent="0.3">
      <c r="A965">
        <v>10964</v>
      </c>
      <c r="B965" t="s">
        <v>86</v>
      </c>
      <c r="C965" t="s">
        <v>87</v>
      </c>
      <c r="D965" t="s">
        <v>30</v>
      </c>
      <c r="E965">
        <v>23</v>
      </c>
      <c r="F965" t="s">
        <v>31</v>
      </c>
      <c r="G965" t="s">
        <v>55</v>
      </c>
      <c r="H965" t="s">
        <v>56</v>
      </c>
      <c r="I965" t="s">
        <v>49</v>
      </c>
      <c r="J965">
        <v>10</v>
      </c>
      <c r="K965" s="1">
        <v>46004</v>
      </c>
      <c r="L965" s="1">
        <v>46008</v>
      </c>
      <c r="M965" t="s">
        <v>50</v>
      </c>
      <c r="N965" t="s">
        <v>26</v>
      </c>
      <c r="O965">
        <v>178666.92</v>
      </c>
      <c r="P965">
        <v>123280.17</v>
      </c>
      <c r="Q965">
        <v>55386.75</v>
      </c>
      <c r="R965" t="s">
        <v>32</v>
      </c>
      <c r="S965">
        <f t="shared" si="45"/>
        <v>4</v>
      </c>
      <c r="T965" s="2">
        <f t="shared" si="46"/>
        <v>0.68999997313436634</v>
      </c>
      <c r="U965" s="2">
        <f t="shared" si="47"/>
        <v>0.31000002686563355</v>
      </c>
    </row>
    <row r="966" spans="1:21" x14ac:dyDescent="0.3">
      <c r="A966">
        <v>10965</v>
      </c>
      <c r="B966" t="s">
        <v>33</v>
      </c>
      <c r="C966" t="s">
        <v>34</v>
      </c>
      <c r="D966" t="s">
        <v>20</v>
      </c>
      <c r="E966">
        <v>26</v>
      </c>
      <c r="F966" t="s">
        <v>35</v>
      </c>
      <c r="G966" t="s">
        <v>22</v>
      </c>
      <c r="H966" t="s">
        <v>23</v>
      </c>
      <c r="I966" t="s">
        <v>24</v>
      </c>
      <c r="J966">
        <v>15</v>
      </c>
      <c r="K966" s="1">
        <v>45681</v>
      </c>
      <c r="L966" s="1">
        <v>45693</v>
      </c>
      <c r="M966" t="s">
        <v>25</v>
      </c>
      <c r="N966" t="s">
        <v>51</v>
      </c>
      <c r="O966">
        <v>137433.29</v>
      </c>
      <c r="P966">
        <v>96203.3</v>
      </c>
      <c r="Q966">
        <v>41229.99</v>
      </c>
      <c r="R966" t="s">
        <v>32</v>
      </c>
      <c r="S966">
        <f t="shared" si="45"/>
        <v>12</v>
      </c>
      <c r="T966" s="2">
        <f t="shared" si="46"/>
        <v>0.69999997817122761</v>
      </c>
      <c r="U966" s="2">
        <f t="shared" si="47"/>
        <v>0.30000002182877233</v>
      </c>
    </row>
    <row r="967" spans="1:21" x14ac:dyDescent="0.3">
      <c r="A967">
        <v>10966</v>
      </c>
      <c r="B967" t="s">
        <v>123</v>
      </c>
      <c r="C967" t="s">
        <v>124</v>
      </c>
      <c r="D967" t="s">
        <v>30</v>
      </c>
      <c r="E967">
        <v>65</v>
      </c>
      <c r="F967" t="s">
        <v>35</v>
      </c>
      <c r="G967" t="s">
        <v>36</v>
      </c>
      <c r="H967" t="s">
        <v>37</v>
      </c>
      <c r="I967" t="s">
        <v>24</v>
      </c>
      <c r="J967">
        <v>12</v>
      </c>
      <c r="K967" s="1">
        <v>45772</v>
      </c>
      <c r="L967" s="1">
        <v>45777</v>
      </c>
      <c r="M967" t="s">
        <v>66</v>
      </c>
      <c r="N967" t="s">
        <v>26</v>
      </c>
      <c r="O967">
        <v>46982.080000000002</v>
      </c>
      <c r="P967">
        <v>36176.199999999997</v>
      </c>
      <c r="Q967">
        <v>10805.88</v>
      </c>
      <c r="R967" t="s">
        <v>32</v>
      </c>
      <c r="S967">
        <f t="shared" si="45"/>
        <v>5</v>
      </c>
      <c r="T967" s="2">
        <f t="shared" si="46"/>
        <v>0.76999996594446218</v>
      </c>
      <c r="U967" s="2">
        <f t="shared" si="47"/>
        <v>0.23000003405553773</v>
      </c>
    </row>
    <row r="968" spans="1:21" x14ac:dyDescent="0.3">
      <c r="A968">
        <v>10967</v>
      </c>
      <c r="B968" t="s">
        <v>18</v>
      </c>
      <c r="C968" t="s">
        <v>19</v>
      </c>
      <c r="D968" t="s">
        <v>20</v>
      </c>
      <c r="E968">
        <v>45</v>
      </c>
      <c r="F968" t="s">
        <v>21</v>
      </c>
      <c r="G968" t="s">
        <v>88</v>
      </c>
      <c r="H968" t="s">
        <v>89</v>
      </c>
      <c r="I968" t="s">
        <v>62</v>
      </c>
      <c r="J968">
        <v>14</v>
      </c>
      <c r="K968" s="1">
        <v>45896</v>
      </c>
      <c r="L968" s="1">
        <v>45909</v>
      </c>
      <c r="M968" t="s">
        <v>63</v>
      </c>
      <c r="N968" t="s">
        <v>26</v>
      </c>
      <c r="O968">
        <v>28438.07</v>
      </c>
      <c r="P968">
        <v>20759.79</v>
      </c>
      <c r="Q968">
        <v>7678.28</v>
      </c>
      <c r="R968" t="s">
        <v>32</v>
      </c>
      <c r="S968">
        <f t="shared" si="45"/>
        <v>13</v>
      </c>
      <c r="T968" s="2">
        <f t="shared" si="46"/>
        <v>0.72999996131945666</v>
      </c>
      <c r="U968" s="2">
        <f t="shared" si="47"/>
        <v>0.27000003868054334</v>
      </c>
    </row>
    <row r="969" spans="1:21" x14ac:dyDescent="0.3">
      <c r="A969">
        <v>10968</v>
      </c>
      <c r="B969" t="s">
        <v>117</v>
      </c>
      <c r="C969" t="s">
        <v>118</v>
      </c>
      <c r="D969" t="s">
        <v>20</v>
      </c>
      <c r="E969">
        <v>65</v>
      </c>
      <c r="F969" t="s">
        <v>119</v>
      </c>
      <c r="G969" t="s">
        <v>36</v>
      </c>
      <c r="H969" t="s">
        <v>37</v>
      </c>
      <c r="I969" t="s">
        <v>24</v>
      </c>
      <c r="J969">
        <v>12</v>
      </c>
      <c r="K969" s="1">
        <v>45793</v>
      </c>
      <c r="L969" s="1">
        <v>45801</v>
      </c>
      <c r="M969" t="s">
        <v>25</v>
      </c>
      <c r="N969" t="s">
        <v>26</v>
      </c>
      <c r="O969">
        <v>185655.98</v>
      </c>
      <c r="P969">
        <v>155951.01999999999</v>
      </c>
      <c r="Q969">
        <v>29704.959999999999</v>
      </c>
      <c r="R969" t="s">
        <v>32</v>
      </c>
      <c r="S969">
        <f t="shared" si="45"/>
        <v>8</v>
      </c>
      <c r="T969" s="2">
        <f t="shared" si="46"/>
        <v>0.83999998276381926</v>
      </c>
      <c r="U969" s="2">
        <f t="shared" si="47"/>
        <v>0.16000001723618057</v>
      </c>
    </row>
    <row r="970" spans="1:21" x14ac:dyDescent="0.3">
      <c r="A970">
        <v>10969</v>
      </c>
      <c r="B970" t="s">
        <v>125</v>
      </c>
      <c r="C970" t="s">
        <v>126</v>
      </c>
      <c r="D970" t="s">
        <v>30</v>
      </c>
      <c r="E970">
        <v>73</v>
      </c>
      <c r="F970" t="s">
        <v>21</v>
      </c>
      <c r="G970" t="s">
        <v>47</v>
      </c>
      <c r="H970" t="s">
        <v>48</v>
      </c>
      <c r="I970" t="s">
        <v>49</v>
      </c>
      <c r="J970">
        <v>8</v>
      </c>
      <c r="K970" s="1">
        <v>45696</v>
      </c>
      <c r="L970" s="1">
        <v>45707</v>
      </c>
      <c r="M970" t="s">
        <v>50</v>
      </c>
      <c r="N970" t="s">
        <v>26</v>
      </c>
      <c r="O970">
        <v>314069.53000000003</v>
      </c>
      <c r="P970">
        <v>201004.5</v>
      </c>
      <c r="Q970">
        <v>113065.03</v>
      </c>
      <c r="R970" t="s">
        <v>27</v>
      </c>
      <c r="S970">
        <f t="shared" si="45"/>
        <v>11</v>
      </c>
      <c r="T970" s="2">
        <f t="shared" si="46"/>
        <v>0.64000000254720657</v>
      </c>
      <c r="U970" s="2">
        <f t="shared" si="47"/>
        <v>0.35999999745279332</v>
      </c>
    </row>
    <row r="971" spans="1:21" x14ac:dyDescent="0.3">
      <c r="A971">
        <v>10970</v>
      </c>
      <c r="B971" t="s">
        <v>123</v>
      </c>
      <c r="C971" t="s">
        <v>124</v>
      </c>
      <c r="D971" t="s">
        <v>30</v>
      </c>
      <c r="E971">
        <v>65</v>
      </c>
      <c r="F971" t="s">
        <v>35</v>
      </c>
      <c r="G971" t="s">
        <v>47</v>
      </c>
      <c r="H971" t="s">
        <v>48</v>
      </c>
      <c r="I971" t="s">
        <v>49</v>
      </c>
      <c r="J971">
        <v>8</v>
      </c>
      <c r="K971" s="1">
        <v>45798</v>
      </c>
      <c r="L971" s="1">
        <v>45802</v>
      </c>
      <c r="M971" t="s">
        <v>101</v>
      </c>
      <c r="N971" t="s">
        <v>26</v>
      </c>
      <c r="O971">
        <v>23726.98</v>
      </c>
      <c r="P971">
        <v>15897.08</v>
      </c>
      <c r="Q971">
        <v>7829.9</v>
      </c>
      <c r="R971" t="s">
        <v>32</v>
      </c>
      <c r="S971">
        <f t="shared" si="45"/>
        <v>4</v>
      </c>
      <c r="T971" s="2">
        <f t="shared" si="46"/>
        <v>0.67000014329678703</v>
      </c>
      <c r="U971" s="2">
        <f t="shared" si="47"/>
        <v>0.32999985670321297</v>
      </c>
    </row>
    <row r="972" spans="1:21" x14ac:dyDescent="0.3">
      <c r="A972">
        <v>10971</v>
      </c>
      <c r="B972" t="s">
        <v>82</v>
      </c>
      <c r="C972" t="s">
        <v>83</v>
      </c>
      <c r="D972" t="s">
        <v>20</v>
      </c>
      <c r="E972">
        <v>74</v>
      </c>
      <c r="F972" t="s">
        <v>84</v>
      </c>
      <c r="G972" t="s">
        <v>88</v>
      </c>
      <c r="H972" t="s">
        <v>89</v>
      </c>
      <c r="I972" t="s">
        <v>62</v>
      </c>
      <c r="J972">
        <v>14</v>
      </c>
      <c r="K972" s="1">
        <v>45805</v>
      </c>
      <c r="L972" s="1">
        <v>45818</v>
      </c>
      <c r="M972" t="s">
        <v>77</v>
      </c>
      <c r="N972" t="s">
        <v>26</v>
      </c>
      <c r="O972">
        <v>63570.15</v>
      </c>
      <c r="P972">
        <v>45770.51</v>
      </c>
      <c r="Q972">
        <v>17799.64</v>
      </c>
      <c r="R972" t="s">
        <v>27</v>
      </c>
      <c r="S972">
        <f t="shared" si="45"/>
        <v>13</v>
      </c>
      <c r="T972" s="2">
        <f t="shared" si="46"/>
        <v>0.72000003146130698</v>
      </c>
      <c r="U972" s="2">
        <f t="shared" si="47"/>
        <v>0.27999996853869308</v>
      </c>
    </row>
    <row r="973" spans="1:21" x14ac:dyDescent="0.3">
      <c r="A973">
        <v>10972</v>
      </c>
      <c r="B973" t="s">
        <v>123</v>
      </c>
      <c r="C973" t="s">
        <v>124</v>
      </c>
      <c r="D973" t="s">
        <v>30</v>
      </c>
      <c r="E973">
        <v>65</v>
      </c>
      <c r="F973" t="s">
        <v>35</v>
      </c>
      <c r="G973" t="s">
        <v>41</v>
      </c>
      <c r="H973" t="s">
        <v>42</v>
      </c>
      <c r="I973" t="s">
        <v>43</v>
      </c>
      <c r="J973">
        <v>9</v>
      </c>
      <c r="K973" s="1">
        <v>45731</v>
      </c>
      <c r="L973" s="1">
        <v>45741</v>
      </c>
      <c r="M973" t="s">
        <v>72</v>
      </c>
      <c r="N973" t="s">
        <v>26</v>
      </c>
      <c r="O973">
        <v>19889</v>
      </c>
      <c r="P973">
        <v>16706.759999999998</v>
      </c>
      <c r="Q973">
        <v>3182.24</v>
      </c>
      <c r="R973" t="s">
        <v>27</v>
      </c>
      <c r="S973">
        <f t="shared" si="45"/>
        <v>10</v>
      </c>
      <c r="T973" s="2">
        <f t="shared" si="46"/>
        <v>0.84</v>
      </c>
      <c r="U973" s="2">
        <f t="shared" si="47"/>
        <v>0.15999999999999998</v>
      </c>
    </row>
    <row r="974" spans="1:21" x14ac:dyDescent="0.3">
      <c r="A974">
        <v>10973</v>
      </c>
      <c r="B974" t="s">
        <v>106</v>
      </c>
      <c r="C974" t="s">
        <v>107</v>
      </c>
      <c r="D974" t="s">
        <v>30</v>
      </c>
      <c r="E974">
        <v>37</v>
      </c>
      <c r="F974" t="s">
        <v>31</v>
      </c>
      <c r="G974" t="s">
        <v>55</v>
      </c>
      <c r="H974" t="s">
        <v>56</v>
      </c>
      <c r="I974" t="s">
        <v>49</v>
      </c>
      <c r="J974">
        <v>10</v>
      </c>
      <c r="K974" s="1">
        <v>45694</v>
      </c>
      <c r="L974" s="1">
        <v>45702</v>
      </c>
      <c r="M974" t="s">
        <v>85</v>
      </c>
      <c r="N974" t="s">
        <v>26</v>
      </c>
      <c r="O974">
        <v>131569.45000000001</v>
      </c>
      <c r="P974">
        <v>85520.14</v>
      </c>
      <c r="Q974">
        <v>46049.31</v>
      </c>
      <c r="R974" t="s">
        <v>27</v>
      </c>
      <c r="S974">
        <f t="shared" si="45"/>
        <v>8</v>
      </c>
      <c r="T974" s="2">
        <f t="shared" si="46"/>
        <v>0.64999998099862843</v>
      </c>
      <c r="U974" s="2">
        <f t="shared" si="47"/>
        <v>0.35000001900137145</v>
      </c>
    </row>
    <row r="975" spans="1:21" x14ac:dyDescent="0.3">
      <c r="A975">
        <v>10974</v>
      </c>
      <c r="B975" t="s">
        <v>127</v>
      </c>
      <c r="C975" t="s">
        <v>128</v>
      </c>
      <c r="D975" t="s">
        <v>20</v>
      </c>
      <c r="E975">
        <v>41</v>
      </c>
      <c r="F975" t="s">
        <v>54</v>
      </c>
      <c r="G975" t="s">
        <v>47</v>
      </c>
      <c r="H975" t="s">
        <v>48</v>
      </c>
      <c r="I975" t="s">
        <v>49</v>
      </c>
      <c r="J975">
        <v>8</v>
      </c>
      <c r="K975" s="1">
        <v>45794</v>
      </c>
      <c r="L975" s="1">
        <v>45806</v>
      </c>
      <c r="M975" t="s">
        <v>85</v>
      </c>
      <c r="N975" t="s">
        <v>26</v>
      </c>
      <c r="O975">
        <v>87811.95</v>
      </c>
      <c r="P975">
        <v>54443.41</v>
      </c>
      <c r="Q975">
        <v>33368.54</v>
      </c>
      <c r="R975" t="s">
        <v>32</v>
      </c>
      <c r="S975">
        <f t="shared" si="45"/>
        <v>12</v>
      </c>
      <c r="T975" s="2">
        <f t="shared" si="46"/>
        <v>0.62000001138797178</v>
      </c>
      <c r="U975" s="2">
        <f t="shared" si="47"/>
        <v>0.37999998861202833</v>
      </c>
    </row>
    <row r="976" spans="1:21" x14ac:dyDescent="0.3">
      <c r="A976">
        <v>10975</v>
      </c>
      <c r="B976" t="s">
        <v>129</v>
      </c>
      <c r="C976" t="s">
        <v>130</v>
      </c>
      <c r="D976" t="s">
        <v>30</v>
      </c>
      <c r="E976">
        <v>28</v>
      </c>
      <c r="F976" t="s">
        <v>35</v>
      </c>
      <c r="G976" t="s">
        <v>55</v>
      </c>
      <c r="H976" t="s">
        <v>56</v>
      </c>
      <c r="I976" t="s">
        <v>49</v>
      </c>
      <c r="J976">
        <v>10</v>
      </c>
      <c r="K976" s="1">
        <v>45823</v>
      </c>
      <c r="L976" s="1">
        <v>45826</v>
      </c>
      <c r="M976" t="s">
        <v>101</v>
      </c>
      <c r="N976" t="s">
        <v>26</v>
      </c>
      <c r="O976">
        <v>44543.96</v>
      </c>
      <c r="P976">
        <v>29844.45</v>
      </c>
      <c r="Q976">
        <v>14699.51</v>
      </c>
      <c r="R976" t="s">
        <v>27</v>
      </c>
      <c r="S976">
        <f t="shared" si="45"/>
        <v>3</v>
      </c>
      <c r="T976" s="2">
        <f t="shared" si="46"/>
        <v>0.66999992816085507</v>
      </c>
      <c r="U976" s="2">
        <f t="shared" si="47"/>
        <v>0.33000007183914498</v>
      </c>
    </row>
    <row r="977" spans="1:21" x14ac:dyDescent="0.3">
      <c r="A977">
        <v>10976</v>
      </c>
      <c r="B977" t="s">
        <v>120</v>
      </c>
      <c r="C977" t="s">
        <v>74</v>
      </c>
      <c r="D977" t="s">
        <v>20</v>
      </c>
      <c r="E977">
        <v>61</v>
      </c>
      <c r="F977" t="s">
        <v>69</v>
      </c>
      <c r="G977" t="s">
        <v>41</v>
      </c>
      <c r="H977" t="s">
        <v>42</v>
      </c>
      <c r="I977" t="s">
        <v>43</v>
      </c>
      <c r="J977">
        <v>9</v>
      </c>
      <c r="K977" s="1">
        <v>45697</v>
      </c>
      <c r="L977" s="1">
        <v>45710</v>
      </c>
      <c r="M977" t="s">
        <v>112</v>
      </c>
      <c r="N977" t="s">
        <v>26</v>
      </c>
      <c r="O977">
        <v>47861.4</v>
      </c>
      <c r="P977">
        <v>38767.730000000003</v>
      </c>
      <c r="Q977">
        <v>9093.67</v>
      </c>
      <c r="R977" t="s">
        <v>32</v>
      </c>
      <c r="S977">
        <f t="shared" si="45"/>
        <v>13</v>
      </c>
      <c r="T977" s="2">
        <f t="shared" si="46"/>
        <v>0.80999991642534486</v>
      </c>
      <c r="U977" s="2">
        <f t="shared" si="47"/>
        <v>0.19000008357465514</v>
      </c>
    </row>
    <row r="978" spans="1:21" x14ac:dyDescent="0.3">
      <c r="A978">
        <v>10977</v>
      </c>
      <c r="B978" t="s">
        <v>127</v>
      </c>
      <c r="C978" t="s">
        <v>128</v>
      </c>
      <c r="D978" t="s">
        <v>20</v>
      </c>
      <c r="E978">
        <v>41</v>
      </c>
      <c r="F978" t="s">
        <v>54</v>
      </c>
      <c r="G978" t="s">
        <v>36</v>
      </c>
      <c r="H978" t="s">
        <v>37</v>
      </c>
      <c r="I978" t="s">
        <v>24</v>
      </c>
      <c r="J978">
        <v>12</v>
      </c>
      <c r="K978" s="1">
        <v>45993</v>
      </c>
      <c r="L978" s="1">
        <v>46003</v>
      </c>
      <c r="M978" t="s">
        <v>76</v>
      </c>
      <c r="N978" t="s">
        <v>26</v>
      </c>
      <c r="O978">
        <v>394526.09</v>
      </c>
      <c r="P978">
        <v>295894.57</v>
      </c>
      <c r="Q978">
        <v>98631.52</v>
      </c>
      <c r="R978" t="s">
        <v>27</v>
      </c>
      <c r="S978">
        <f t="shared" si="45"/>
        <v>10</v>
      </c>
      <c r="T978" s="2">
        <f t="shared" si="46"/>
        <v>0.75000000633671648</v>
      </c>
      <c r="U978" s="2">
        <f t="shared" si="47"/>
        <v>0.24999999366328346</v>
      </c>
    </row>
    <row r="979" spans="1:21" x14ac:dyDescent="0.3">
      <c r="A979">
        <v>10978</v>
      </c>
      <c r="B979" t="s">
        <v>127</v>
      </c>
      <c r="C979" t="s">
        <v>128</v>
      </c>
      <c r="D979" t="s">
        <v>20</v>
      </c>
      <c r="E979">
        <v>41</v>
      </c>
      <c r="F979" t="s">
        <v>54</v>
      </c>
      <c r="G979" t="s">
        <v>60</v>
      </c>
      <c r="H979" t="s">
        <v>61</v>
      </c>
      <c r="I979" t="s">
        <v>62</v>
      </c>
      <c r="J979">
        <v>18</v>
      </c>
      <c r="K979" s="1">
        <v>45746</v>
      </c>
      <c r="L979" s="1">
        <v>45754</v>
      </c>
      <c r="M979" t="s">
        <v>77</v>
      </c>
      <c r="N979" t="s">
        <v>26</v>
      </c>
      <c r="O979">
        <v>92905.51</v>
      </c>
      <c r="P979">
        <v>76182.52</v>
      </c>
      <c r="Q979">
        <v>16722.990000000002</v>
      </c>
      <c r="R979" t="s">
        <v>27</v>
      </c>
      <c r="S979">
        <f t="shared" si="45"/>
        <v>8</v>
      </c>
      <c r="T979" s="2">
        <f t="shared" si="46"/>
        <v>0.82000001937452371</v>
      </c>
      <c r="U979" s="2">
        <f t="shared" si="47"/>
        <v>0.1799999806254764</v>
      </c>
    </row>
    <row r="980" spans="1:21" x14ac:dyDescent="0.3">
      <c r="A980">
        <v>10979</v>
      </c>
      <c r="B980" t="s">
        <v>144</v>
      </c>
      <c r="C980" t="s">
        <v>145</v>
      </c>
      <c r="D980" t="s">
        <v>30</v>
      </c>
      <c r="E980">
        <v>37</v>
      </c>
      <c r="F980" t="s">
        <v>40</v>
      </c>
      <c r="G980" t="s">
        <v>55</v>
      </c>
      <c r="H980" t="s">
        <v>56</v>
      </c>
      <c r="I980" t="s">
        <v>49</v>
      </c>
      <c r="J980">
        <v>10</v>
      </c>
      <c r="K980" s="1">
        <v>45998</v>
      </c>
      <c r="L980" s="1">
        <v>46002</v>
      </c>
      <c r="M980" t="s">
        <v>50</v>
      </c>
      <c r="N980" t="s">
        <v>51</v>
      </c>
      <c r="O980">
        <v>362362.43</v>
      </c>
      <c r="P980">
        <v>279019.07</v>
      </c>
      <c r="Q980">
        <v>83343.360000000001</v>
      </c>
      <c r="R980" t="s">
        <v>32</v>
      </c>
      <c r="S980">
        <f t="shared" si="45"/>
        <v>4</v>
      </c>
      <c r="T980" s="2">
        <f t="shared" si="46"/>
        <v>0.76999999696436527</v>
      </c>
      <c r="U980" s="2">
        <f t="shared" si="47"/>
        <v>0.23000000303563481</v>
      </c>
    </row>
    <row r="981" spans="1:21" x14ac:dyDescent="0.3">
      <c r="A981">
        <v>10980</v>
      </c>
      <c r="B981" t="s">
        <v>141</v>
      </c>
      <c r="C981" t="s">
        <v>142</v>
      </c>
      <c r="D981" t="s">
        <v>30</v>
      </c>
      <c r="E981">
        <v>47</v>
      </c>
      <c r="F981" t="s">
        <v>54</v>
      </c>
      <c r="G981" t="s">
        <v>70</v>
      </c>
      <c r="H981" t="s">
        <v>71</v>
      </c>
      <c r="I981" t="s">
        <v>43</v>
      </c>
      <c r="J981">
        <v>11</v>
      </c>
      <c r="K981" s="1">
        <v>45899</v>
      </c>
      <c r="L981" s="1">
        <v>45901</v>
      </c>
      <c r="M981" t="s">
        <v>112</v>
      </c>
      <c r="N981" t="s">
        <v>51</v>
      </c>
      <c r="O981">
        <v>48042.64</v>
      </c>
      <c r="P981">
        <v>40355.82</v>
      </c>
      <c r="Q981">
        <v>7686.82</v>
      </c>
      <c r="R981" t="s">
        <v>32</v>
      </c>
      <c r="S981">
        <f t="shared" si="45"/>
        <v>2</v>
      </c>
      <c r="T981" s="2">
        <f t="shared" si="46"/>
        <v>0.84000004995562272</v>
      </c>
      <c r="U981" s="2">
        <f t="shared" si="47"/>
        <v>0.15999995004437725</v>
      </c>
    </row>
    <row r="982" spans="1:21" x14ac:dyDescent="0.3">
      <c r="A982">
        <v>10981</v>
      </c>
      <c r="B982" t="s">
        <v>33</v>
      </c>
      <c r="C982" t="s">
        <v>34</v>
      </c>
      <c r="D982" t="s">
        <v>20</v>
      </c>
      <c r="E982">
        <v>26</v>
      </c>
      <c r="F982" t="s">
        <v>35</v>
      </c>
      <c r="G982" t="s">
        <v>60</v>
      </c>
      <c r="H982" t="s">
        <v>61</v>
      </c>
      <c r="I982" t="s">
        <v>62</v>
      </c>
      <c r="J982">
        <v>18</v>
      </c>
      <c r="K982" s="1">
        <v>45958</v>
      </c>
      <c r="L982" s="1">
        <v>45972</v>
      </c>
      <c r="M982" t="s">
        <v>63</v>
      </c>
      <c r="N982" t="s">
        <v>26</v>
      </c>
      <c r="O982">
        <v>18181.919999999998</v>
      </c>
      <c r="P982">
        <v>14000.08</v>
      </c>
      <c r="Q982">
        <v>4181.84</v>
      </c>
      <c r="R982" t="s">
        <v>32</v>
      </c>
      <c r="S982">
        <f t="shared" si="45"/>
        <v>14</v>
      </c>
      <c r="T982" s="2">
        <f t="shared" si="46"/>
        <v>0.77000008799950725</v>
      </c>
      <c r="U982" s="2">
        <f t="shared" si="47"/>
        <v>0.22999991200049283</v>
      </c>
    </row>
    <row r="983" spans="1:21" x14ac:dyDescent="0.3">
      <c r="A983">
        <v>10982</v>
      </c>
      <c r="B983" t="s">
        <v>57</v>
      </c>
      <c r="C983" t="s">
        <v>58</v>
      </c>
      <c r="D983" t="s">
        <v>20</v>
      </c>
      <c r="E983">
        <v>45</v>
      </c>
      <c r="F983" t="s">
        <v>59</v>
      </c>
      <c r="G983" t="s">
        <v>41</v>
      </c>
      <c r="H983" t="s">
        <v>42</v>
      </c>
      <c r="I983" t="s">
        <v>43</v>
      </c>
      <c r="J983">
        <v>9</v>
      </c>
      <c r="K983" s="1">
        <v>45755</v>
      </c>
      <c r="L983" s="1">
        <v>45763</v>
      </c>
      <c r="M983" t="s">
        <v>44</v>
      </c>
      <c r="N983" t="s">
        <v>26</v>
      </c>
      <c r="O983">
        <v>20864.64</v>
      </c>
      <c r="P983">
        <v>14813.89</v>
      </c>
      <c r="Q983">
        <v>6050.75</v>
      </c>
      <c r="R983" t="s">
        <v>32</v>
      </c>
      <c r="S983">
        <f t="shared" si="45"/>
        <v>8</v>
      </c>
      <c r="T983" s="2">
        <f t="shared" si="46"/>
        <v>0.70999978911689821</v>
      </c>
      <c r="U983" s="2">
        <f t="shared" si="47"/>
        <v>0.29000021088310174</v>
      </c>
    </row>
    <row r="984" spans="1:21" x14ac:dyDescent="0.3">
      <c r="A984">
        <v>10983</v>
      </c>
      <c r="B984" t="s">
        <v>137</v>
      </c>
      <c r="C984" t="s">
        <v>138</v>
      </c>
      <c r="D984" t="s">
        <v>30</v>
      </c>
      <c r="E984">
        <v>56</v>
      </c>
      <c r="F984" t="s">
        <v>59</v>
      </c>
      <c r="G984" t="s">
        <v>36</v>
      </c>
      <c r="H984" t="s">
        <v>37</v>
      </c>
      <c r="I984" t="s">
        <v>24</v>
      </c>
      <c r="J984">
        <v>12</v>
      </c>
      <c r="K984" s="1">
        <v>45790</v>
      </c>
      <c r="L984" s="1">
        <v>45795</v>
      </c>
      <c r="M984" t="s">
        <v>66</v>
      </c>
      <c r="N984" t="s">
        <v>26</v>
      </c>
      <c r="O984">
        <v>49560.44</v>
      </c>
      <c r="P984">
        <v>36674.730000000003</v>
      </c>
      <c r="Q984">
        <v>12885.71</v>
      </c>
      <c r="R984" t="s">
        <v>32</v>
      </c>
      <c r="S984">
        <f t="shared" si="45"/>
        <v>5</v>
      </c>
      <c r="T984" s="2">
        <f t="shared" si="46"/>
        <v>0.74000008878048706</v>
      </c>
      <c r="U984" s="2">
        <f t="shared" si="47"/>
        <v>0.25999991121951294</v>
      </c>
    </row>
    <row r="985" spans="1:21" x14ac:dyDescent="0.3">
      <c r="A985">
        <v>10984</v>
      </c>
      <c r="B985" t="s">
        <v>28</v>
      </c>
      <c r="C985" t="s">
        <v>29</v>
      </c>
      <c r="D985" t="s">
        <v>30</v>
      </c>
      <c r="E985">
        <v>60</v>
      </c>
      <c r="F985" t="s">
        <v>31</v>
      </c>
      <c r="G985" t="s">
        <v>36</v>
      </c>
      <c r="H985" t="s">
        <v>37</v>
      </c>
      <c r="I985" t="s">
        <v>24</v>
      </c>
      <c r="J985">
        <v>12</v>
      </c>
      <c r="K985" s="1">
        <v>45941</v>
      </c>
      <c r="L985" s="1">
        <v>45943</v>
      </c>
      <c r="M985" t="s">
        <v>76</v>
      </c>
      <c r="N985" t="s">
        <v>26</v>
      </c>
      <c r="O985">
        <v>401294.29</v>
      </c>
      <c r="P985">
        <v>256828.35</v>
      </c>
      <c r="Q985">
        <v>144465.94</v>
      </c>
      <c r="R985" t="s">
        <v>32</v>
      </c>
      <c r="S985">
        <f t="shared" si="45"/>
        <v>2</v>
      </c>
      <c r="T985" s="2">
        <f t="shared" si="46"/>
        <v>0.64000001096452186</v>
      </c>
      <c r="U985" s="2">
        <f t="shared" si="47"/>
        <v>0.3599999890354782</v>
      </c>
    </row>
    <row r="986" spans="1:21" x14ac:dyDescent="0.3">
      <c r="A986">
        <v>10985</v>
      </c>
      <c r="B986" t="s">
        <v>110</v>
      </c>
      <c r="C986" t="s">
        <v>111</v>
      </c>
      <c r="D986" t="s">
        <v>20</v>
      </c>
      <c r="E986">
        <v>44</v>
      </c>
      <c r="F986" t="s">
        <v>35</v>
      </c>
      <c r="G986" t="s">
        <v>22</v>
      </c>
      <c r="H986" t="s">
        <v>23</v>
      </c>
      <c r="I986" t="s">
        <v>24</v>
      </c>
      <c r="J986">
        <v>15</v>
      </c>
      <c r="K986" s="1">
        <v>45735</v>
      </c>
      <c r="L986" s="1">
        <v>45737</v>
      </c>
      <c r="M986" t="s">
        <v>76</v>
      </c>
      <c r="N986" t="s">
        <v>26</v>
      </c>
      <c r="O986">
        <v>168055.72</v>
      </c>
      <c r="P986">
        <v>121000.12</v>
      </c>
      <c r="Q986">
        <v>47055.6</v>
      </c>
      <c r="R986" t="s">
        <v>32</v>
      </c>
      <c r="S986">
        <f t="shared" si="45"/>
        <v>2</v>
      </c>
      <c r="T986" s="2">
        <f t="shared" si="46"/>
        <v>0.7200000095206518</v>
      </c>
      <c r="U986" s="2">
        <f t="shared" si="47"/>
        <v>0.27999999047934815</v>
      </c>
    </row>
    <row r="987" spans="1:21" x14ac:dyDescent="0.3">
      <c r="A987">
        <v>10986</v>
      </c>
      <c r="B987" t="s">
        <v>162</v>
      </c>
      <c r="C987" t="s">
        <v>91</v>
      </c>
      <c r="D987" t="s">
        <v>30</v>
      </c>
      <c r="E987">
        <v>39</v>
      </c>
      <c r="F987" t="s">
        <v>119</v>
      </c>
      <c r="G987" t="s">
        <v>55</v>
      </c>
      <c r="H987" t="s">
        <v>56</v>
      </c>
      <c r="I987" t="s">
        <v>49</v>
      </c>
      <c r="J987">
        <v>10</v>
      </c>
      <c r="K987" s="1">
        <v>45967</v>
      </c>
      <c r="L987" s="1">
        <v>45981</v>
      </c>
      <c r="M987" t="s">
        <v>50</v>
      </c>
      <c r="N987" t="s">
        <v>26</v>
      </c>
      <c r="O987">
        <v>199772.59</v>
      </c>
      <c r="P987">
        <v>147831.72</v>
      </c>
      <c r="Q987">
        <v>51940.87</v>
      </c>
      <c r="R987" t="s">
        <v>32</v>
      </c>
      <c r="S987">
        <f t="shared" si="45"/>
        <v>14</v>
      </c>
      <c r="T987" s="2">
        <f t="shared" si="46"/>
        <v>0.74000001701935192</v>
      </c>
      <c r="U987" s="2">
        <f t="shared" si="47"/>
        <v>0.25999998298064814</v>
      </c>
    </row>
    <row r="988" spans="1:21" x14ac:dyDescent="0.3">
      <c r="A988">
        <v>10987</v>
      </c>
      <c r="B988" t="s">
        <v>139</v>
      </c>
      <c r="C988" t="s">
        <v>140</v>
      </c>
      <c r="D988" t="s">
        <v>20</v>
      </c>
      <c r="E988">
        <v>21</v>
      </c>
      <c r="F988" t="s">
        <v>119</v>
      </c>
      <c r="G988" t="s">
        <v>47</v>
      </c>
      <c r="H988" t="s">
        <v>48</v>
      </c>
      <c r="I988" t="s">
        <v>49</v>
      </c>
      <c r="J988">
        <v>8</v>
      </c>
      <c r="K988" s="1">
        <v>45962</v>
      </c>
      <c r="L988" s="1">
        <v>45966</v>
      </c>
      <c r="M988" t="s">
        <v>85</v>
      </c>
      <c r="N988" t="s">
        <v>26</v>
      </c>
      <c r="O988">
        <v>96454.99</v>
      </c>
      <c r="P988">
        <v>81022.19</v>
      </c>
      <c r="Q988">
        <v>15432.8</v>
      </c>
      <c r="R988" t="s">
        <v>32</v>
      </c>
      <c r="S988">
        <f t="shared" si="45"/>
        <v>4</v>
      </c>
      <c r="T988" s="2">
        <f t="shared" si="46"/>
        <v>0.83999998341195203</v>
      </c>
      <c r="U988" s="2">
        <f t="shared" si="47"/>
        <v>0.16000001658804794</v>
      </c>
    </row>
    <row r="989" spans="1:21" x14ac:dyDescent="0.3">
      <c r="A989">
        <v>10988</v>
      </c>
      <c r="B989" t="s">
        <v>143</v>
      </c>
      <c r="C989" t="s">
        <v>74</v>
      </c>
      <c r="D989" t="s">
        <v>20</v>
      </c>
      <c r="E989">
        <v>35</v>
      </c>
      <c r="F989" t="s">
        <v>119</v>
      </c>
      <c r="G989" t="s">
        <v>55</v>
      </c>
      <c r="H989" t="s">
        <v>56</v>
      </c>
      <c r="I989" t="s">
        <v>49</v>
      </c>
      <c r="J989">
        <v>10</v>
      </c>
      <c r="K989" s="1">
        <v>45798</v>
      </c>
      <c r="L989" s="1">
        <v>45804</v>
      </c>
      <c r="M989" t="s">
        <v>101</v>
      </c>
      <c r="N989" t="s">
        <v>51</v>
      </c>
      <c r="O989">
        <v>20393.45</v>
      </c>
      <c r="P989">
        <v>13255.74</v>
      </c>
      <c r="Q989">
        <v>7137.71</v>
      </c>
      <c r="R989" t="s">
        <v>32</v>
      </c>
      <c r="S989">
        <f t="shared" si="45"/>
        <v>6</v>
      </c>
      <c r="T989" s="2">
        <f t="shared" si="46"/>
        <v>0.64999987741161991</v>
      </c>
      <c r="U989" s="2">
        <f t="shared" si="47"/>
        <v>0.35000012258838009</v>
      </c>
    </row>
    <row r="990" spans="1:21" x14ac:dyDescent="0.3">
      <c r="A990">
        <v>10989</v>
      </c>
      <c r="B990" t="s">
        <v>129</v>
      </c>
      <c r="C990" t="s">
        <v>130</v>
      </c>
      <c r="D990" t="s">
        <v>30</v>
      </c>
      <c r="E990">
        <v>28</v>
      </c>
      <c r="F990" t="s">
        <v>35</v>
      </c>
      <c r="G990" t="s">
        <v>60</v>
      </c>
      <c r="H990" t="s">
        <v>61</v>
      </c>
      <c r="I990" t="s">
        <v>62</v>
      </c>
      <c r="J990">
        <v>18</v>
      </c>
      <c r="K990" s="1">
        <v>45821</v>
      </c>
      <c r="L990" s="1">
        <v>45828</v>
      </c>
      <c r="M990" t="s">
        <v>96</v>
      </c>
      <c r="N990" t="s">
        <v>26</v>
      </c>
      <c r="O990">
        <v>120876.98</v>
      </c>
      <c r="P990">
        <v>87031.43</v>
      </c>
      <c r="Q990">
        <v>33845.550000000003</v>
      </c>
      <c r="R990" t="s">
        <v>32</v>
      </c>
      <c r="S990">
        <f t="shared" si="45"/>
        <v>7</v>
      </c>
      <c r="T990" s="2">
        <f t="shared" si="46"/>
        <v>0.72000003640064469</v>
      </c>
      <c r="U990" s="2">
        <f t="shared" si="47"/>
        <v>0.27999996359935536</v>
      </c>
    </row>
    <row r="991" spans="1:21" x14ac:dyDescent="0.3">
      <c r="A991">
        <v>10990</v>
      </c>
      <c r="B991" t="s">
        <v>139</v>
      </c>
      <c r="C991" t="s">
        <v>140</v>
      </c>
      <c r="D991" t="s">
        <v>20</v>
      </c>
      <c r="E991">
        <v>21</v>
      </c>
      <c r="F991" t="s">
        <v>119</v>
      </c>
      <c r="G991" t="s">
        <v>41</v>
      </c>
      <c r="H991" t="s">
        <v>42</v>
      </c>
      <c r="I991" t="s">
        <v>43</v>
      </c>
      <c r="J991">
        <v>9</v>
      </c>
      <c r="K991" s="1">
        <v>45661</v>
      </c>
      <c r="L991" s="1">
        <v>45664</v>
      </c>
      <c r="M991" t="s">
        <v>72</v>
      </c>
      <c r="N991" t="s">
        <v>51</v>
      </c>
      <c r="O991">
        <v>17468.330000000002</v>
      </c>
      <c r="P991">
        <v>12577.2</v>
      </c>
      <c r="Q991">
        <v>4891.13</v>
      </c>
      <c r="R991" t="s">
        <v>32</v>
      </c>
      <c r="S991">
        <f t="shared" si="45"/>
        <v>3</v>
      </c>
      <c r="T991" s="2">
        <f t="shared" si="46"/>
        <v>0.72000013739149649</v>
      </c>
      <c r="U991" s="2">
        <f t="shared" si="47"/>
        <v>0.27999986260850346</v>
      </c>
    </row>
    <row r="992" spans="1:21" x14ac:dyDescent="0.3">
      <c r="A992">
        <v>10991</v>
      </c>
      <c r="B992" t="s">
        <v>115</v>
      </c>
      <c r="C992" t="s">
        <v>116</v>
      </c>
      <c r="D992" t="s">
        <v>30</v>
      </c>
      <c r="E992">
        <v>18</v>
      </c>
      <c r="F992" t="s">
        <v>31</v>
      </c>
      <c r="G992" t="s">
        <v>60</v>
      </c>
      <c r="H992" t="s">
        <v>61</v>
      </c>
      <c r="I992" t="s">
        <v>62</v>
      </c>
      <c r="J992">
        <v>18</v>
      </c>
      <c r="K992" s="1">
        <v>45849</v>
      </c>
      <c r="L992" s="1">
        <v>45852</v>
      </c>
      <c r="M992" t="s">
        <v>63</v>
      </c>
      <c r="N992" t="s">
        <v>26</v>
      </c>
      <c r="O992">
        <v>37312.720000000001</v>
      </c>
      <c r="P992">
        <v>24626.400000000001</v>
      </c>
      <c r="Q992">
        <v>12686.32</v>
      </c>
      <c r="R992" t="s">
        <v>27</v>
      </c>
      <c r="S992">
        <f t="shared" si="45"/>
        <v>3</v>
      </c>
      <c r="T992" s="2">
        <f t="shared" si="46"/>
        <v>0.66000012864245761</v>
      </c>
      <c r="U992" s="2">
        <f t="shared" si="47"/>
        <v>0.33999987135754239</v>
      </c>
    </row>
    <row r="993" spans="1:21" x14ac:dyDescent="0.3">
      <c r="A993">
        <v>10992</v>
      </c>
      <c r="B993" t="s">
        <v>160</v>
      </c>
      <c r="C993" t="s">
        <v>161</v>
      </c>
      <c r="D993" t="s">
        <v>20</v>
      </c>
      <c r="E993">
        <v>18</v>
      </c>
      <c r="F993" t="s">
        <v>54</v>
      </c>
      <c r="G993" t="s">
        <v>70</v>
      </c>
      <c r="H993" t="s">
        <v>71</v>
      </c>
      <c r="I993" t="s">
        <v>43</v>
      </c>
      <c r="J993">
        <v>11</v>
      </c>
      <c r="K993" s="1">
        <v>45806</v>
      </c>
      <c r="L993" s="1">
        <v>45814</v>
      </c>
      <c r="M993" t="s">
        <v>72</v>
      </c>
      <c r="N993" t="s">
        <v>26</v>
      </c>
      <c r="O993">
        <v>17014.87</v>
      </c>
      <c r="P993">
        <v>10719.37</v>
      </c>
      <c r="Q993">
        <v>6295.5</v>
      </c>
      <c r="R993" t="s">
        <v>32</v>
      </c>
      <c r="S993">
        <f t="shared" si="45"/>
        <v>8</v>
      </c>
      <c r="T993" s="2">
        <f t="shared" si="46"/>
        <v>0.63000011166703018</v>
      </c>
      <c r="U993" s="2">
        <f t="shared" si="47"/>
        <v>0.36999988833296993</v>
      </c>
    </row>
    <row r="994" spans="1:21" x14ac:dyDescent="0.3">
      <c r="A994">
        <v>10993</v>
      </c>
      <c r="B994" t="s">
        <v>154</v>
      </c>
      <c r="C994" t="s">
        <v>155</v>
      </c>
      <c r="D994" t="s">
        <v>30</v>
      </c>
      <c r="E994">
        <v>67</v>
      </c>
      <c r="F994" t="s">
        <v>119</v>
      </c>
      <c r="G994" t="s">
        <v>88</v>
      </c>
      <c r="H994" t="s">
        <v>89</v>
      </c>
      <c r="I994" t="s">
        <v>62</v>
      </c>
      <c r="J994">
        <v>14</v>
      </c>
      <c r="K994" s="1">
        <v>45700</v>
      </c>
      <c r="L994" s="1">
        <v>45704</v>
      </c>
      <c r="M994" t="s">
        <v>96</v>
      </c>
      <c r="N994" t="s">
        <v>51</v>
      </c>
      <c r="O994">
        <v>183771.51</v>
      </c>
      <c r="P994">
        <v>135990.92000000001</v>
      </c>
      <c r="Q994">
        <v>47780.59</v>
      </c>
      <c r="R994" t="s">
        <v>27</v>
      </c>
      <c r="S994">
        <f t="shared" si="45"/>
        <v>4</v>
      </c>
      <c r="T994" s="2">
        <f t="shared" si="46"/>
        <v>0.74000001414800376</v>
      </c>
      <c r="U994" s="2">
        <f t="shared" si="47"/>
        <v>0.2599999858519963</v>
      </c>
    </row>
    <row r="995" spans="1:21" x14ac:dyDescent="0.3">
      <c r="A995">
        <v>10994</v>
      </c>
      <c r="B995" t="s">
        <v>162</v>
      </c>
      <c r="C995" t="s">
        <v>91</v>
      </c>
      <c r="D995" t="s">
        <v>30</v>
      </c>
      <c r="E995">
        <v>39</v>
      </c>
      <c r="F995" t="s">
        <v>119</v>
      </c>
      <c r="G995" t="s">
        <v>55</v>
      </c>
      <c r="H995" t="s">
        <v>56</v>
      </c>
      <c r="I995" t="s">
        <v>49</v>
      </c>
      <c r="J995">
        <v>10</v>
      </c>
      <c r="K995" s="1">
        <v>45713</v>
      </c>
      <c r="L995" s="1">
        <v>45723</v>
      </c>
      <c r="M995" t="s">
        <v>50</v>
      </c>
      <c r="N995" t="s">
        <v>26</v>
      </c>
      <c r="O995">
        <v>190719.97</v>
      </c>
      <c r="P995">
        <v>123967.98</v>
      </c>
      <c r="Q995">
        <v>66751.990000000005</v>
      </c>
      <c r="R995" t="s">
        <v>32</v>
      </c>
      <c r="S995">
        <f t="shared" si="45"/>
        <v>10</v>
      </c>
      <c r="T995" s="2">
        <f t="shared" si="46"/>
        <v>0.64999999737835523</v>
      </c>
      <c r="U995" s="2">
        <f t="shared" si="47"/>
        <v>0.35000000262164471</v>
      </c>
    </row>
    <row r="996" spans="1:21" x14ac:dyDescent="0.3">
      <c r="A996">
        <v>10995</v>
      </c>
      <c r="B996" t="s">
        <v>28</v>
      </c>
      <c r="C996" t="s">
        <v>29</v>
      </c>
      <c r="D996" t="s">
        <v>30</v>
      </c>
      <c r="E996">
        <v>60</v>
      </c>
      <c r="F996" t="s">
        <v>31</v>
      </c>
      <c r="G996" t="s">
        <v>55</v>
      </c>
      <c r="H996" t="s">
        <v>56</v>
      </c>
      <c r="I996" t="s">
        <v>49</v>
      </c>
      <c r="J996">
        <v>10</v>
      </c>
      <c r="K996" s="1">
        <v>45801</v>
      </c>
      <c r="L996" s="1">
        <v>45804</v>
      </c>
      <c r="M996" t="s">
        <v>50</v>
      </c>
      <c r="N996" t="s">
        <v>26</v>
      </c>
      <c r="O996">
        <v>257887.31</v>
      </c>
      <c r="P996">
        <v>167626.75</v>
      </c>
      <c r="Q996">
        <v>90260.56</v>
      </c>
      <c r="R996" t="s">
        <v>32</v>
      </c>
      <c r="S996">
        <f t="shared" si="45"/>
        <v>3</v>
      </c>
      <c r="T996" s="2">
        <f t="shared" si="46"/>
        <v>0.64999999418350596</v>
      </c>
      <c r="U996" s="2">
        <f t="shared" si="47"/>
        <v>0.35000000581649404</v>
      </c>
    </row>
    <row r="997" spans="1:21" x14ac:dyDescent="0.3">
      <c r="A997">
        <v>10996</v>
      </c>
      <c r="B997" t="s">
        <v>73</v>
      </c>
      <c r="C997" t="s">
        <v>74</v>
      </c>
      <c r="D997" t="s">
        <v>20</v>
      </c>
      <c r="E997">
        <v>53</v>
      </c>
      <c r="F997" t="s">
        <v>75</v>
      </c>
      <c r="G997" t="s">
        <v>41</v>
      </c>
      <c r="H997" t="s">
        <v>42</v>
      </c>
      <c r="I997" t="s">
        <v>43</v>
      </c>
      <c r="J997">
        <v>9</v>
      </c>
      <c r="K997" s="1">
        <v>45739</v>
      </c>
      <c r="L997" s="1">
        <v>45742</v>
      </c>
      <c r="M997" t="s">
        <v>44</v>
      </c>
      <c r="N997" t="s">
        <v>26</v>
      </c>
      <c r="O997">
        <v>13197.26</v>
      </c>
      <c r="P997">
        <v>10821.75</v>
      </c>
      <c r="Q997">
        <v>2375.5100000000002</v>
      </c>
      <c r="R997" t="s">
        <v>27</v>
      </c>
      <c r="S997">
        <f t="shared" si="45"/>
        <v>3</v>
      </c>
      <c r="T997" s="2">
        <f t="shared" si="46"/>
        <v>0.81999975752542575</v>
      </c>
      <c r="U997" s="2">
        <f t="shared" si="47"/>
        <v>0.18000024247457427</v>
      </c>
    </row>
    <row r="998" spans="1:21" x14ac:dyDescent="0.3">
      <c r="A998">
        <v>10997</v>
      </c>
      <c r="B998" t="s">
        <v>137</v>
      </c>
      <c r="C998" t="s">
        <v>138</v>
      </c>
      <c r="D998" t="s">
        <v>30</v>
      </c>
      <c r="E998">
        <v>56</v>
      </c>
      <c r="F998" t="s">
        <v>59</v>
      </c>
      <c r="G998" t="s">
        <v>70</v>
      </c>
      <c r="H998" t="s">
        <v>71</v>
      </c>
      <c r="I998" t="s">
        <v>43</v>
      </c>
      <c r="J998">
        <v>11</v>
      </c>
      <c r="K998" s="1">
        <v>45718</v>
      </c>
      <c r="L998" s="1">
        <v>45725</v>
      </c>
      <c r="M998" t="s">
        <v>44</v>
      </c>
      <c r="N998" t="s">
        <v>51</v>
      </c>
      <c r="O998">
        <v>21514.74</v>
      </c>
      <c r="P998">
        <v>16781.5</v>
      </c>
      <c r="Q998">
        <v>4733.24</v>
      </c>
      <c r="R998" t="s">
        <v>27</v>
      </c>
      <c r="S998">
        <f t="shared" si="45"/>
        <v>7</v>
      </c>
      <c r="T998" s="2">
        <f t="shared" si="46"/>
        <v>0.78000013014333425</v>
      </c>
      <c r="U998" s="2">
        <f t="shared" si="47"/>
        <v>0.21999986985666567</v>
      </c>
    </row>
    <row r="999" spans="1:21" x14ac:dyDescent="0.3">
      <c r="A999">
        <v>10998</v>
      </c>
      <c r="B999" t="s">
        <v>125</v>
      </c>
      <c r="C999" t="s">
        <v>126</v>
      </c>
      <c r="D999" t="s">
        <v>30</v>
      </c>
      <c r="E999">
        <v>73</v>
      </c>
      <c r="F999" t="s">
        <v>21</v>
      </c>
      <c r="G999" t="s">
        <v>55</v>
      </c>
      <c r="H999" t="s">
        <v>56</v>
      </c>
      <c r="I999" t="s">
        <v>49</v>
      </c>
      <c r="J999">
        <v>10</v>
      </c>
      <c r="K999" s="1">
        <v>45810</v>
      </c>
      <c r="L999" s="1">
        <v>45824</v>
      </c>
      <c r="M999" t="s">
        <v>85</v>
      </c>
      <c r="N999" t="s">
        <v>26</v>
      </c>
      <c r="O999">
        <v>106922.93</v>
      </c>
      <c r="P999">
        <v>68430.679999999993</v>
      </c>
      <c r="Q999">
        <v>38492.25</v>
      </c>
      <c r="R999" t="s">
        <v>27</v>
      </c>
      <c r="S999">
        <f t="shared" si="45"/>
        <v>14</v>
      </c>
      <c r="T999" s="2">
        <f t="shared" si="46"/>
        <v>0.64000004489214801</v>
      </c>
      <c r="U999" s="2">
        <f t="shared" si="47"/>
        <v>0.35999995510785199</v>
      </c>
    </row>
    <row r="1000" spans="1:21" x14ac:dyDescent="0.3">
      <c r="A1000">
        <v>10999</v>
      </c>
      <c r="B1000" t="s">
        <v>129</v>
      </c>
      <c r="C1000" t="s">
        <v>130</v>
      </c>
      <c r="D1000" t="s">
        <v>30</v>
      </c>
      <c r="E1000">
        <v>28</v>
      </c>
      <c r="F1000" t="s">
        <v>35</v>
      </c>
      <c r="G1000" t="s">
        <v>55</v>
      </c>
      <c r="H1000" t="s">
        <v>56</v>
      </c>
      <c r="I1000" t="s">
        <v>49</v>
      </c>
      <c r="J1000">
        <v>10</v>
      </c>
      <c r="K1000" s="1">
        <v>45962</v>
      </c>
      <c r="L1000" s="1">
        <v>45964</v>
      </c>
      <c r="M1000" t="s">
        <v>50</v>
      </c>
      <c r="N1000" t="s">
        <v>51</v>
      </c>
      <c r="O1000">
        <v>362489.64</v>
      </c>
      <c r="P1000">
        <v>231993.37</v>
      </c>
      <c r="Q1000">
        <v>130496.27</v>
      </c>
      <c r="R1000" t="s">
        <v>32</v>
      </c>
      <c r="S1000">
        <f t="shared" si="45"/>
        <v>2</v>
      </c>
      <c r="T1000" s="2">
        <f t="shared" si="46"/>
        <v>0.64000000110347977</v>
      </c>
      <c r="U1000" s="2">
        <f t="shared" si="47"/>
        <v>0.35999999889652018</v>
      </c>
    </row>
    <row r="1001" spans="1:21" x14ac:dyDescent="0.3">
      <c r="A1001">
        <v>11000</v>
      </c>
      <c r="B1001" t="s">
        <v>82</v>
      </c>
      <c r="C1001" t="s">
        <v>83</v>
      </c>
      <c r="D1001" t="s">
        <v>20</v>
      </c>
      <c r="E1001">
        <v>74</v>
      </c>
      <c r="F1001" t="s">
        <v>84</v>
      </c>
      <c r="G1001" t="s">
        <v>41</v>
      </c>
      <c r="H1001" t="s">
        <v>42</v>
      </c>
      <c r="I1001" t="s">
        <v>43</v>
      </c>
      <c r="J1001">
        <v>9</v>
      </c>
      <c r="K1001" s="1">
        <v>45701</v>
      </c>
      <c r="L1001" s="1">
        <v>45708</v>
      </c>
      <c r="M1001" t="s">
        <v>112</v>
      </c>
      <c r="N1001" t="s">
        <v>51</v>
      </c>
      <c r="O1001">
        <v>57972.07</v>
      </c>
      <c r="P1001">
        <v>41739.89</v>
      </c>
      <c r="Q1001">
        <v>16232.18</v>
      </c>
      <c r="R1001" t="s">
        <v>27</v>
      </c>
      <c r="S1001">
        <f t="shared" si="45"/>
        <v>7</v>
      </c>
      <c r="T1001" s="2">
        <f t="shared" si="46"/>
        <v>0.71999999310012563</v>
      </c>
      <c r="U1001" s="2">
        <f t="shared" si="47"/>
        <v>0.28000000689987437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MaxCare_Hospital_1000_Patients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Khyati Rajput</dc:creator>
  <cp:lastModifiedBy>Khyati Rajput</cp:lastModifiedBy>
  <dcterms:created xsi:type="dcterms:W3CDTF">2026-10-03T14:59:38Z</dcterms:created>
  <dcterms:modified xsi:type="dcterms:W3CDTF">2026-10-04T09:04:38Z</dcterms:modified>
</cp:coreProperties>
</file>